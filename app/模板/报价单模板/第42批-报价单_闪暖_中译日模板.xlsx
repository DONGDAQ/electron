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40"/>
  </bookViews>
  <sheets>
    <sheet name="本地化报价" sheetId="1" r:id="rId1"/>
    <sheet name="字数统计" sheetId="7" r:id="rId2"/>
    <sheet name="字数统计2 " sheetId="9" r:id="rId3"/>
    <sheet name="重复匹配率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<sst xmlns="http://schemas.openxmlformats.org/spreadsheetml/2006/main" count="173" uniqueCount="35">
  <si>
    <t>报价单(中译日)</t>
  </si>
  <si>
    <t>报价信息</t>
  </si>
  <si>
    <t>报价单号：</t>
  </si>
  <si>
    <t>报价日期：</t>
  </si>
  <si>
    <t>服务内容</t>
  </si>
  <si>
    <t>字数</t>
  </si>
  <si>
    <t>每字单价(CNY)</t>
  </si>
  <si>
    <t>金额
(CNY)</t>
  </si>
  <si>
    <t>交付日</t>
  </si>
  <si>
    <t>9/17 (星期三)</t>
  </si>
  <si>
    <t>9/26(星期五)</t>
  </si>
  <si>
    <t>10/17 (星期五)</t>
  </si>
  <si>
    <t>合计</t>
  </si>
  <si>
    <t xml:space="preserve">中译日 </t>
  </si>
  <si>
    <t>交付日期</t>
  </si>
  <si>
    <t>*本报价有效期为自报价日起1个月以内</t>
  </si>
  <si>
    <t>*国内主体人民币结算，需要追加6%增值税</t>
  </si>
  <si>
    <t>*日本主体公司日元结算，汇率以请款当月首个工作日外管理局官网公布的汇率为准进行换算http://www.safe.gov.cn/</t>
  </si>
  <si>
    <t>*本报价不包含源泉税</t>
  </si>
  <si>
    <t>联系信息</t>
  </si>
  <si>
    <t>我司名称：</t>
  </si>
  <si>
    <t>大连游者之家信息技术有限公司</t>
  </si>
  <si>
    <t>我司地址：</t>
  </si>
  <si>
    <t>辽宁省大连市高新园区黄浦路533号 海创国际大厦7层07单元</t>
  </si>
  <si>
    <t>联系人员：</t>
  </si>
  <si>
    <t>殷守纪</t>
  </si>
  <si>
    <t>联系电话：</t>
  </si>
  <si>
    <t>文件名</t>
  </si>
  <si>
    <t>结算字数</t>
  </si>
  <si>
    <t>预估纳品日期</t>
  </si>
  <si>
    <t>备注</t>
  </si>
  <si>
    <t>交付状况</t>
  </si>
  <si>
    <r>
      <rPr>
        <b/>
        <sz val="10"/>
        <color rgb="FF000000"/>
        <rFont val="宋体"/>
        <charset val="134"/>
      </rPr>
      <t>比例</t>
    </r>
  </si>
  <si>
    <t>结算
字数</t>
  </si>
  <si>
    <r>
      <rPr>
        <sz val="10"/>
        <color rgb="FF000000"/>
        <rFont val="宋体"/>
        <charset val="134"/>
      </rPr>
      <t>小计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</si>
</sst>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mm/dd\ \(aaaa\)"/>
    <numFmt numFmtId="178" formatCode="yyyy/m/d;@"/>
    <numFmt numFmtId="179" formatCode="0.00_ "/>
    <numFmt numFmtId="180" formatCode="0_);\(0\)"/>
    <numFmt numFmtId="181" formatCode="yyyy&quot;年&quot;m&quot;月&quot;d&quot;日&quot;;@"/>
    <numFmt numFmtId="182" formatCode="[DBNum2][$-411]General"/>
    <numFmt numFmtId="183" formatCode="[DBNum2][$-804]General"/>
  </numFmts>
  <fonts count="57">
    <font>
      <sz val="11"/>
      <color theme="1"/>
      <name val="等线"/>
      <charset val="134"/>
      <scheme val="minor"/>
    </font>
    <font>
      <sz val="8.25"/>
      <color theme="1"/>
      <name val="微软雅黑"/>
      <charset val="134"/>
    </font>
    <font>
      <b/>
      <sz val="15.6"/>
      <color theme="1"/>
      <name val="微软雅黑"/>
      <charset val="134"/>
    </font>
    <font>
      <sz val="12"/>
      <color rgb="FF000000"/>
      <name val="微软雅黑"/>
      <charset val="134"/>
    </font>
    <font>
      <i/>
      <sz val="12"/>
      <color rgb="FF800000"/>
      <name val="微软雅黑"/>
      <charset val="134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b/>
      <sz val="11"/>
      <color rgb="FF000000"/>
      <name val="Arial"/>
      <charset val="134"/>
    </font>
    <font>
      <b/>
      <sz val="10"/>
      <color rgb="FF000000"/>
      <name val="Arial"/>
      <charset val="134"/>
    </font>
    <font>
      <b/>
      <sz val="10"/>
      <color rgb="FF000000"/>
      <name val="宋体"/>
      <charset val="134"/>
    </font>
    <font>
      <sz val="11"/>
      <color rgb="FF000000"/>
      <name val="Arial"/>
      <charset val="134"/>
    </font>
    <font>
      <sz val="10"/>
      <color rgb="FF000000"/>
      <name val="Arial"/>
      <charset val="134"/>
    </font>
    <font>
      <sz val="10"/>
      <color rgb="FF000000"/>
      <name val="宋体"/>
      <charset val="134"/>
    </font>
    <font>
      <b/>
      <sz val="10.5"/>
      <color rgb="FFFFFFFF"/>
      <name val="Microsoft YaHei UI"/>
      <charset val="134"/>
    </font>
    <font>
      <sz val="10.5"/>
      <color rgb="FFC00000"/>
      <name val="Microsoft YaHei UI"/>
      <charset val="134"/>
    </font>
    <font>
      <sz val="10.5"/>
      <name val="Microsoft YaHei UI"/>
      <charset val="134"/>
    </font>
    <font>
      <sz val="9.75"/>
      <name val="Microsoft YaHei UI"/>
      <charset val="134"/>
    </font>
    <font>
      <sz val="10"/>
      <color theme="1"/>
      <name val="Microsoft YaHei UI"/>
      <charset val="134"/>
    </font>
    <font>
      <sz val="9.75"/>
      <color rgb="FF000000"/>
      <name val="Microsoft YaHei UI"/>
      <charset val="134"/>
    </font>
    <font>
      <sz val="10.5"/>
      <color rgb="FF000000"/>
      <name val="Microsoft YaHei UI"/>
      <charset val="134"/>
    </font>
    <font>
      <b/>
      <sz val="11"/>
      <color rgb="FF0070C0"/>
      <name val="微软雅黑"/>
      <charset val="134"/>
    </font>
    <font>
      <b/>
      <sz val="18"/>
      <color theme="0"/>
      <name val="微软雅黑"/>
      <charset val="134"/>
    </font>
    <font>
      <b/>
      <sz val="11"/>
      <color theme="1"/>
      <name val="微软雅黑"/>
      <charset val="134"/>
    </font>
    <font>
      <sz val="11"/>
      <name val="微软雅黑"/>
      <charset val="134"/>
    </font>
    <font>
      <b/>
      <sz val="22"/>
      <color rgb="FF0085B4"/>
      <name val="微软雅黑"/>
      <charset val="134"/>
    </font>
    <font>
      <b/>
      <sz val="14"/>
      <color rgb="FF0085B4"/>
      <name val="微软雅黑"/>
      <charset val="134"/>
    </font>
    <font>
      <b/>
      <sz val="16"/>
      <color rgb="FF0085B4"/>
      <name val="微软雅黑"/>
      <charset val="134"/>
    </font>
    <font>
      <b/>
      <sz val="12"/>
      <color rgb="FF0085B4"/>
      <name val="微软雅黑"/>
      <charset val="134"/>
    </font>
    <font>
      <b/>
      <sz val="13"/>
      <color rgb="FF0085B4"/>
      <name val="微软雅黑"/>
      <charset val="134"/>
    </font>
    <font>
      <sz val="10"/>
      <color theme="1" tint="0.349986266670736"/>
      <name val="微软雅黑"/>
      <charset val="134"/>
    </font>
    <font>
      <b/>
      <sz val="10"/>
      <color rgb="FF0085B4"/>
      <name val="微软雅黑"/>
      <charset val="134"/>
    </font>
    <font>
      <sz val="10"/>
      <color theme="1"/>
      <name val="微软雅黑"/>
      <charset val="134"/>
    </font>
    <font>
      <sz val="11"/>
      <color theme="1"/>
      <name val="Microsoft YaHei UI"/>
      <charset val="134"/>
    </font>
    <font>
      <sz val="10"/>
      <color theme="1" tint="0.249977111117893"/>
      <name val="微软雅黑"/>
      <charset val="134"/>
    </font>
    <font>
      <b/>
      <sz val="10"/>
      <color theme="1"/>
      <name val="微软雅黑"/>
      <charset val="134"/>
    </font>
    <font>
      <sz val="11"/>
      <color theme="0"/>
      <name val="微软雅黑"/>
      <charset val="134"/>
    </font>
    <font>
      <b/>
      <sz val="16"/>
      <color theme="1" tint="0.349986266670736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8C6C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85B4"/>
        <bgColor indexed="64"/>
      </patternFill>
    </fill>
    <fill>
      <patternFill patternType="solid">
        <fgColor rgb="FFF0F3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medium">
        <color rgb="FFFFFFFF"/>
      </left>
      <right/>
      <top/>
      <bottom/>
      <diagonal/>
    </border>
    <border>
      <left/>
      <right/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auto="1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/>
      <diagonal/>
    </border>
    <border>
      <left style="medium">
        <color rgb="FF0085B4"/>
      </left>
      <right/>
      <top style="medium">
        <color rgb="FF0085B4"/>
      </top>
      <bottom/>
      <diagonal/>
    </border>
    <border>
      <left/>
      <right/>
      <top style="medium">
        <color rgb="FF0085B4"/>
      </top>
      <bottom/>
      <diagonal/>
    </border>
    <border>
      <left/>
      <right style="medium">
        <color rgb="FF0085B4"/>
      </right>
      <top style="medium">
        <color rgb="FF0085B4"/>
      </top>
      <bottom/>
      <diagonal/>
    </border>
    <border>
      <left style="medium">
        <color rgb="FF0085B4"/>
      </left>
      <right/>
      <top/>
      <bottom/>
      <diagonal/>
    </border>
    <border>
      <left/>
      <right style="medium">
        <color rgb="FF0085B4"/>
      </right>
      <top/>
      <bottom/>
      <diagonal/>
    </border>
    <border>
      <left/>
      <right/>
      <top/>
      <bottom style="medium">
        <color rgb="FF0085B4"/>
      </bottom>
      <diagonal/>
    </border>
    <border>
      <left style="thin">
        <color rgb="FF0085B4"/>
      </left>
      <right style="thin">
        <color rgb="FF0085B4"/>
      </right>
      <top style="thin">
        <color rgb="FF0085B4"/>
      </top>
      <bottom style="thin">
        <color rgb="FF0085B4"/>
      </bottom>
      <diagonal/>
    </border>
    <border>
      <left style="thin">
        <color rgb="FF0085B4"/>
      </left>
      <right/>
      <top style="thin">
        <color rgb="FF0085B4"/>
      </top>
      <bottom style="thin">
        <color rgb="FF0085B4"/>
      </bottom>
      <diagonal/>
    </border>
    <border>
      <left/>
      <right/>
      <top style="thin">
        <color rgb="FF0085B4"/>
      </top>
      <bottom style="thin">
        <color rgb="FF0085B4"/>
      </bottom>
      <diagonal/>
    </border>
    <border>
      <left/>
      <right style="thin">
        <color rgb="FF0085B4"/>
      </right>
      <top style="thin">
        <color rgb="FF0085B4"/>
      </top>
      <bottom style="thin">
        <color rgb="FF0085B4"/>
      </bottom>
      <diagonal/>
    </border>
    <border>
      <left/>
      <right/>
      <top style="thin">
        <color rgb="FF0085B4"/>
      </top>
      <bottom/>
      <diagonal/>
    </border>
    <border>
      <left style="medium">
        <color rgb="FF0085B4"/>
      </left>
      <right/>
      <top/>
      <bottom style="medium">
        <color rgb="FF0085B4"/>
      </bottom>
      <diagonal/>
    </border>
    <border>
      <left/>
      <right style="medium">
        <color rgb="FF0085B4"/>
      </right>
      <top/>
      <bottom style="medium">
        <color rgb="FF0085B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9" borderId="27" applyNumberFormat="0" applyFon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28" applyNumberFormat="0" applyFill="0" applyAlignment="0" applyProtection="0">
      <alignment vertical="center"/>
    </xf>
    <xf numFmtId="0" fontId="44" fillId="0" borderId="28" applyNumberFormat="0" applyFill="0" applyAlignment="0" applyProtection="0">
      <alignment vertical="center"/>
    </xf>
    <xf numFmtId="0" fontId="45" fillId="0" borderId="29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10" borderId="30" applyNumberFormat="0" applyAlignment="0" applyProtection="0">
      <alignment vertical="center"/>
    </xf>
    <xf numFmtId="0" fontId="47" fillId="11" borderId="31" applyNumberFormat="0" applyAlignment="0" applyProtection="0">
      <alignment vertical="center"/>
    </xf>
    <xf numFmtId="0" fontId="48" fillId="11" borderId="30" applyNumberFormat="0" applyAlignment="0" applyProtection="0">
      <alignment vertical="center"/>
    </xf>
    <xf numFmtId="0" fontId="49" fillId="12" borderId="32" applyNumberFormat="0" applyAlignment="0" applyProtection="0">
      <alignment vertical="center"/>
    </xf>
    <xf numFmtId="0" fontId="50" fillId="0" borderId="33" applyNumberFormat="0" applyFill="0" applyAlignment="0" applyProtection="0">
      <alignment vertical="center"/>
    </xf>
    <xf numFmtId="0" fontId="51" fillId="0" borderId="34" applyNumberFormat="0" applyFill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6" fillId="37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99">
    <xf numFmtId="0" fontId="0" fillId="0" borderId="0" xfId="0">
      <alignment vertical="center"/>
    </xf>
    <xf numFmtId="0" fontId="1" fillId="2" borderId="0" xfId="0" applyNumberFormat="1" applyFont="1" applyFill="1" applyBorder="1" applyAlignment="1" applyProtection="1">
      <alignment vertical="center"/>
    </xf>
    <xf numFmtId="0" fontId="2" fillId="2" borderId="0" xfId="0" applyNumberFormat="1" applyFont="1" applyFill="1" applyBorder="1" applyAlignment="1" applyProtection="1">
      <alignment vertical="center"/>
    </xf>
    <xf numFmtId="0" fontId="3" fillId="2" borderId="0" xfId="0" applyNumberFormat="1" applyFont="1" applyFill="1" applyBorder="1" applyAlignment="1" applyProtection="1">
      <alignment vertical="top" wrapText="1"/>
    </xf>
    <xf numFmtId="0" fontId="4" fillId="2" borderId="0" xfId="0" applyNumberFormat="1" applyFont="1" applyFill="1" applyBorder="1" applyAlignment="1" applyProtection="1">
      <alignment vertical="top" wrapText="1"/>
    </xf>
    <xf numFmtId="0" fontId="5" fillId="2" borderId="0" xfId="0" applyNumberFormat="1" applyFont="1" applyFill="1" applyBorder="1" applyAlignment="1" applyProtection="1">
      <alignment vertical="center"/>
    </xf>
    <xf numFmtId="0" fontId="6" fillId="3" borderId="0" xfId="0" applyNumberFormat="1" applyFont="1" applyFill="1" applyBorder="1" applyAlignment="1" applyProtection="1">
      <alignment horizontal="left" vertical="top" wrapText="1"/>
    </xf>
    <xf numFmtId="0" fontId="6" fillId="3" borderId="1" xfId="0" applyNumberFormat="1" applyFont="1" applyFill="1" applyBorder="1" applyAlignment="1" applyProtection="1">
      <alignment horizontal="right" vertical="top" wrapText="1"/>
    </xf>
    <xf numFmtId="0" fontId="7" fillId="2" borderId="2" xfId="0" applyNumberFormat="1" applyFont="1" applyFill="1" applyBorder="1" applyAlignment="1" applyProtection="1">
      <alignment horizontal="left" vertical="top" wrapText="1"/>
    </xf>
    <xf numFmtId="0" fontId="7" fillId="2" borderId="3" xfId="0" applyNumberFormat="1" applyFont="1" applyFill="1" applyBorder="1" applyAlignment="1" applyProtection="1">
      <alignment horizontal="right" vertical="top" wrapText="1"/>
    </xf>
    <xf numFmtId="9" fontId="7" fillId="2" borderId="2" xfId="0" applyNumberFormat="1" applyFont="1" applyFill="1" applyBorder="1" applyAlignment="1" applyProtection="1">
      <alignment horizontal="left" vertical="top" wrapText="1"/>
    </xf>
    <xf numFmtId="0" fontId="5" fillId="2" borderId="4" xfId="0" applyNumberFormat="1" applyFont="1" applyFill="1" applyBorder="1" applyAlignment="1" applyProtection="1">
      <alignment vertical="center"/>
    </xf>
    <xf numFmtId="9" fontId="1" fillId="2" borderId="0" xfId="0" applyNumberFormat="1" applyFont="1" applyFill="1" applyBorder="1" applyAlignment="1" applyProtection="1">
      <alignment vertical="center"/>
    </xf>
    <xf numFmtId="0" fontId="8" fillId="3" borderId="5" xfId="0" applyFont="1" applyFill="1" applyBorder="1" applyAlignment="1">
      <alignment horizontal="left" vertical="center" wrapText="1"/>
    </xf>
    <xf numFmtId="9" fontId="9" fillId="0" borderId="5" xfId="0" applyNumberFormat="1" applyFont="1" applyFill="1" applyBorder="1" applyAlignment="1">
      <alignment horizontal="right" vertical="center" wrapText="1"/>
    </xf>
    <xf numFmtId="176" fontId="10" fillId="0" borderId="5" xfId="0" applyNumberFormat="1" applyFont="1" applyFill="1" applyBorder="1" applyAlignment="1">
      <alignment horizontal="right" vertical="center" wrapText="1"/>
    </xf>
    <xf numFmtId="0" fontId="11" fillId="0" borderId="5" xfId="0" applyFont="1" applyFill="1" applyBorder="1" applyAlignment="1">
      <alignment horizontal="left" vertical="center" wrapText="1"/>
    </xf>
    <xf numFmtId="9" fontId="12" fillId="0" borderId="5" xfId="0" applyNumberFormat="1" applyFont="1" applyFill="1" applyBorder="1" applyAlignment="1">
      <alignment horizontal="right" vertical="center" wrapText="1"/>
    </xf>
    <xf numFmtId="176" fontId="12" fillId="0" borderId="5" xfId="0" applyNumberFormat="1" applyFont="1" applyFill="1" applyBorder="1" applyAlignment="1">
      <alignment horizontal="right" vertical="center" wrapText="1"/>
    </xf>
    <xf numFmtId="0" fontId="12" fillId="0" borderId="5" xfId="0" applyFont="1" applyFill="1" applyBorder="1" applyAlignment="1">
      <alignment horizontal="left" vertical="center" wrapText="1"/>
    </xf>
    <xf numFmtId="0" fontId="13" fillId="0" borderId="5" xfId="0" applyFont="1" applyFill="1" applyBorder="1" applyAlignment="1">
      <alignment vertical="center"/>
    </xf>
    <xf numFmtId="0" fontId="14" fillId="4" borderId="6" xfId="0" applyFont="1" applyFill="1" applyBorder="1">
      <alignment vertical="center"/>
    </xf>
    <xf numFmtId="0" fontId="14" fillId="5" borderId="7" xfId="0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0" fontId="14" fillId="6" borderId="9" xfId="0" applyFont="1" applyFill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5" xfId="0" applyBorder="1" applyAlignment="1">
      <alignment horizontal="center" vertical="center"/>
    </xf>
    <xf numFmtId="177" fontId="15" fillId="0" borderId="5" xfId="0" applyNumberFormat="1" applyFont="1" applyBorder="1" applyAlignment="1">
      <alignment horizontal="center" vertical="center"/>
    </xf>
    <xf numFmtId="58" fontId="16" fillId="0" borderId="11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0" fillId="0" borderId="5" xfId="0" applyBorder="1">
      <alignment vertical="center"/>
    </xf>
    <xf numFmtId="0" fontId="18" fillId="0" borderId="0" xfId="0" applyFont="1" applyAlignment="1">
      <alignment vertical="center"/>
    </xf>
    <xf numFmtId="0" fontId="19" fillId="0" borderId="12" xfId="0" applyFont="1" applyBorder="1" applyAlignment="1">
      <alignment horizontal="center" vertical="center"/>
    </xf>
    <xf numFmtId="178" fontId="15" fillId="0" borderId="5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1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14" xfId="0" applyFont="1" applyBorder="1">
      <alignment vertical="center"/>
    </xf>
    <xf numFmtId="0" fontId="5" fillId="0" borderId="15" xfId="0" applyFont="1" applyBorder="1">
      <alignment vertical="center"/>
    </xf>
    <xf numFmtId="0" fontId="5" fillId="0" borderId="16" xfId="0" applyFont="1" applyBorder="1">
      <alignment vertical="center"/>
    </xf>
    <xf numFmtId="0" fontId="21" fillId="0" borderId="17" xfId="0" applyFont="1" applyBorder="1">
      <alignment vertical="center"/>
    </xf>
    <xf numFmtId="0" fontId="22" fillId="7" borderId="0" xfId="0" applyFont="1" applyFill="1" applyAlignment="1">
      <alignment horizontal="center" vertical="center"/>
    </xf>
    <xf numFmtId="0" fontId="21" fillId="0" borderId="18" xfId="0" applyFont="1" applyBorder="1">
      <alignment vertical="center"/>
    </xf>
    <xf numFmtId="0" fontId="23" fillId="0" borderId="0" xfId="0" applyFont="1">
      <alignment vertical="center"/>
    </xf>
    <xf numFmtId="0" fontId="24" fillId="0" borderId="0" xfId="49" applyFont="1"/>
    <xf numFmtId="0" fontId="24" fillId="0" borderId="0" xfId="49" applyFont="1" applyAlignment="1">
      <alignment horizontal="center"/>
    </xf>
    <xf numFmtId="0" fontId="25" fillId="0" borderId="0" xfId="0" applyFont="1">
      <alignment vertical="center"/>
    </xf>
    <xf numFmtId="0" fontId="26" fillId="0" borderId="19" xfId="0" applyFont="1" applyBorder="1">
      <alignment vertical="center"/>
    </xf>
    <xf numFmtId="0" fontId="27" fillId="0" borderId="19" xfId="0" applyFont="1" applyBorder="1">
      <alignment vertical="center"/>
    </xf>
    <xf numFmtId="0" fontId="25" fillId="0" borderId="19" xfId="0" applyFont="1" applyBorder="1">
      <alignment vertical="center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0" fontId="30" fillId="0" borderId="0" xfId="0" applyFont="1" applyAlignment="1">
      <alignment horizontal="left" vertical="center"/>
    </xf>
    <xf numFmtId="58" fontId="30" fillId="0" borderId="0" xfId="0" applyNumberFormat="1" applyFont="1" applyAlignment="1">
      <alignment horizontal="left" vertical="center"/>
    </xf>
    <xf numFmtId="0" fontId="5" fillId="0" borderId="17" xfId="0" applyFont="1" applyBorder="1">
      <alignment vertical="center"/>
    </xf>
    <xf numFmtId="0" fontId="31" fillId="8" borderId="20" xfId="0" applyFont="1" applyFill="1" applyBorder="1" applyAlignment="1">
      <alignment horizontal="center" vertical="center"/>
    </xf>
    <xf numFmtId="0" fontId="31" fillId="8" borderId="20" xfId="0" applyFont="1" applyFill="1" applyBorder="1" applyAlignment="1">
      <alignment horizontal="center" vertical="center" wrapText="1"/>
    </xf>
    <xf numFmtId="0" fontId="5" fillId="0" borderId="18" xfId="0" applyFont="1" applyBorder="1">
      <alignment vertical="center"/>
    </xf>
    <xf numFmtId="0" fontId="32" fillId="0" borderId="21" xfId="0" applyFont="1" applyBorder="1" applyAlignment="1">
      <alignment horizontal="left" vertical="center"/>
    </xf>
    <xf numFmtId="0" fontId="32" fillId="0" borderId="22" xfId="0" applyFont="1" applyBorder="1" applyAlignment="1">
      <alignment horizontal="left" vertical="center"/>
    </xf>
    <xf numFmtId="0" fontId="32" fillId="0" borderId="23" xfId="0" applyFont="1" applyBorder="1" applyAlignment="1">
      <alignment horizontal="left" vertical="center"/>
    </xf>
    <xf numFmtId="0" fontId="32" fillId="0" borderId="20" xfId="0" applyFont="1" applyBorder="1" applyAlignment="1">
      <alignment horizontal="center" vertical="center" wrapText="1"/>
    </xf>
    <xf numFmtId="179" fontId="32" fillId="0" borderId="20" xfId="0" applyNumberFormat="1" applyFont="1" applyBorder="1" applyAlignment="1">
      <alignment horizontal="center" vertical="center" wrapText="1"/>
    </xf>
    <xf numFmtId="178" fontId="33" fillId="0" borderId="5" xfId="0" applyNumberFormat="1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 vertical="center" wrapText="1"/>
    </xf>
    <xf numFmtId="180" fontId="30" fillId="0" borderId="21" xfId="0" applyNumberFormat="1" applyFont="1" applyBorder="1" applyAlignment="1">
      <alignment horizontal="center" vertical="center" wrapText="1"/>
    </xf>
    <xf numFmtId="180" fontId="30" fillId="0" borderId="22" xfId="0" applyNumberFormat="1" applyFont="1" applyBorder="1" applyAlignment="1">
      <alignment horizontal="center" vertical="center" wrapText="1"/>
    </xf>
    <xf numFmtId="180" fontId="30" fillId="0" borderId="23" xfId="0" applyNumberFormat="1" applyFont="1" applyBorder="1" applyAlignment="1">
      <alignment horizontal="center" vertical="center" wrapText="1"/>
    </xf>
    <xf numFmtId="0" fontId="34" fillId="0" borderId="20" xfId="0" applyFont="1" applyBorder="1" applyAlignment="1">
      <alignment horizontal="center" vertical="center"/>
    </xf>
    <xf numFmtId="179" fontId="35" fillId="0" borderId="20" xfId="0" applyNumberFormat="1" applyFont="1" applyBorder="1" applyAlignment="1">
      <alignment horizontal="center" vertical="center" wrapText="1"/>
    </xf>
    <xf numFmtId="180" fontId="30" fillId="0" borderId="0" xfId="0" applyNumberFormat="1" applyFont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2" fontId="34" fillId="0" borderId="0" xfId="0" applyNumberFormat="1" applyFont="1" applyAlignment="1">
      <alignment horizontal="center" vertical="center"/>
    </xf>
    <xf numFmtId="9" fontId="34" fillId="0" borderId="0" xfId="3" applyFont="1" applyBorder="1" applyAlignment="1">
      <alignment horizontal="center" vertical="center"/>
    </xf>
    <xf numFmtId="180" fontId="30" fillId="0" borderId="0" xfId="0" applyNumberFormat="1" applyFont="1" applyAlignment="1">
      <alignment horizontal="left" vertical="center" wrapText="1"/>
    </xf>
    <xf numFmtId="181" fontId="30" fillId="0" borderId="0" xfId="0" applyNumberFormat="1" applyFont="1" applyAlignment="1">
      <alignment vertical="top" wrapText="1"/>
    </xf>
    <xf numFmtId="181" fontId="30" fillId="0" borderId="0" xfId="0" applyNumberFormat="1" applyFont="1" applyAlignment="1">
      <alignment horizontal="left" vertical="top" wrapText="1"/>
    </xf>
    <xf numFmtId="180" fontId="30" fillId="0" borderId="0" xfId="0" applyNumberFormat="1" applyFont="1" applyAlignment="1">
      <alignment vertical="top" wrapText="1"/>
    </xf>
    <xf numFmtId="0" fontId="36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80" fontId="30" fillId="0" borderId="24" xfId="0" applyNumberFormat="1" applyFont="1" applyBorder="1" applyAlignment="1">
      <alignment horizontal="left" vertical="center" wrapText="1"/>
    </xf>
    <xf numFmtId="0" fontId="24" fillId="0" borderId="0" xfId="0" applyFont="1">
      <alignment vertical="center"/>
    </xf>
    <xf numFmtId="180" fontId="30" fillId="0" borderId="0" xfId="0" applyNumberFormat="1" applyFont="1" applyAlignment="1">
      <alignment horizontal="left" vertical="top" wrapText="1"/>
    </xf>
    <xf numFmtId="182" fontId="34" fillId="0" borderId="0" xfId="0" applyNumberFormat="1" applyFont="1">
      <alignment vertical="center"/>
    </xf>
    <xf numFmtId="182" fontId="5" fillId="0" borderId="0" xfId="0" applyNumberFormat="1" applyFont="1" applyAlignment="1">
      <alignment horizontal="center"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31" fillId="0" borderId="0" xfId="0" applyFont="1" applyAlignment="1">
      <alignment horizontal="left" vertical="center"/>
    </xf>
    <xf numFmtId="0" fontId="30" fillId="0" borderId="0" xfId="0" applyFont="1">
      <alignment vertical="center"/>
    </xf>
    <xf numFmtId="0" fontId="37" fillId="0" borderId="0" xfId="0" applyFont="1">
      <alignment vertical="center"/>
    </xf>
    <xf numFmtId="0" fontId="5" fillId="0" borderId="25" xfId="0" applyFont="1" applyBorder="1">
      <alignment vertical="center"/>
    </xf>
    <xf numFmtId="0" fontId="5" fillId="0" borderId="19" xfId="0" applyFont="1" applyBorder="1">
      <alignment vertical="center"/>
    </xf>
    <xf numFmtId="0" fontId="5" fillId="0" borderId="26" xfId="0" applyFont="1" applyBorder="1">
      <alignment vertical="center"/>
    </xf>
    <xf numFmtId="183" fontId="5" fillId="0" borderId="0" xfId="0" applyNumberFormat="1" applyFo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85B4"/>
      <color rgb="00F0F3F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509905</xdr:colOff>
      <xdr:row>59</xdr:row>
      <xdr:rowOff>9525</xdr:rowOff>
    </xdr:from>
    <xdr:to>
      <xdr:col>9</xdr:col>
      <xdr:colOff>218551</xdr:colOff>
      <xdr:row>63</xdr:row>
      <xdr:rowOff>155939</xdr:rowOff>
    </xdr:to>
    <xdr:pic>
      <xdr:nvPicPr>
        <xdr:cNvPr id="3" name="图片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7605" y="15194280"/>
          <a:ext cx="1299210" cy="1060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69"/>
  <sheetViews>
    <sheetView showGridLines="0" tabSelected="1" topLeftCell="A29" workbookViewId="0">
      <selection activeCell="N43" sqref="N43"/>
    </sheetView>
  </sheetViews>
  <sheetFormatPr defaultColWidth="9" defaultRowHeight="16.5"/>
  <cols>
    <col min="1" max="1" width="1.25" style="39" customWidth="1"/>
    <col min="2" max="2" width="1.125" style="39" customWidth="1"/>
    <col min="3" max="3" width="12.75" style="39" customWidth="1"/>
    <col min="4" max="4" width="4" style="39" customWidth="1"/>
    <col min="5" max="5" width="28.75" style="39" customWidth="1"/>
    <col min="6" max="6" width="10.625" style="39" customWidth="1"/>
    <col min="7" max="7" width="9.875" style="39" customWidth="1"/>
    <col min="8" max="8" width="11" style="39" customWidth="1"/>
    <col min="9" max="9" width="15.375" style="39" hidden="1" customWidth="1"/>
    <col min="10" max="10" width="6.25" style="39" customWidth="1"/>
    <col min="11" max="11" width="13.25" style="39" customWidth="1"/>
    <col min="12" max="14" width="9.625" style="39" customWidth="1"/>
    <col min="15" max="15" width="12" style="39" customWidth="1"/>
    <col min="16" max="16384" width="9" style="39"/>
  </cols>
  <sheetData>
    <row r="1" ht="8.25" customHeight="1"/>
    <row r="2" ht="3.75" customHeight="1" spans="2:18">
      <c r="B2" s="40"/>
      <c r="C2" s="41"/>
      <c r="D2" s="41"/>
      <c r="E2" s="41"/>
      <c r="F2" s="41"/>
      <c r="G2" s="41"/>
      <c r="H2" s="41"/>
      <c r="I2" s="41"/>
      <c r="J2" s="42"/>
    </row>
    <row r="3" s="37" customFormat="1" ht="19.5" customHeight="1" spans="2:18">
      <c r="B3" s="43"/>
      <c r="C3" s="44" t="s">
        <v>0</v>
      </c>
      <c r="D3" s="44"/>
      <c r="E3" s="44"/>
      <c r="F3" s="44"/>
      <c r="G3" s="44"/>
      <c r="H3" s="44"/>
      <c r="I3" s="44"/>
      <c r="J3" s="45"/>
      <c r="M3" s="46"/>
      <c r="N3" s="46"/>
      <c r="O3" s="46"/>
      <c r="P3" s="46"/>
      <c r="Q3" s="46"/>
      <c r="R3" s="46"/>
    </row>
    <row r="4" s="37" customFormat="1" ht="19.5" customHeight="1" spans="2:18">
      <c r="B4" s="43"/>
      <c r="C4" s="44"/>
      <c r="D4" s="44"/>
      <c r="E4" s="44"/>
      <c r="F4" s="44"/>
      <c r="G4" s="44"/>
      <c r="H4" s="44"/>
      <c r="I4" s="44"/>
      <c r="J4" s="45"/>
      <c r="M4" s="46"/>
      <c r="N4" s="46"/>
      <c r="O4" s="46"/>
      <c r="P4" s="46"/>
      <c r="Q4" s="46"/>
      <c r="R4" s="46"/>
    </row>
    <row r="5" s="37" customFormat="1" ht="18" customHeight="1" spans="2:18">
      <c r="B5" s="43"/>
      <c r="C5" s="47"/>
      <c r="D5" s="48"/>
      <c r="E5" s="48"/>
      <c r="F5" s="49"/>
      <c r="G5" s="49"/>
      <c r="H5" s="49"/>
      <c r="I5" s="49"/>
      <c r="J5" s="45"/>
      <c r="M5" s="46"/>
      <c r="N5" s="46"/>
      <c r="O5" s="46"/>
      <c r="P5" s="46"/>
      <c r="Q5" s="46"/>
      <c r="R5" s="46"/>
    </row>
    <row r="6" s="37" customFormat="1" ht="18" customHeight="1" spans="2:18">
      <c r="B6" s="43"/>
      <c r="C6" s="50" t="s">
        <v>1</v>
      </c>
      <c r="D6" s="51"/>
      <c r="E6" s="51"/>
      <c r="F6" s="52"/>
      <c r="G6" s="52"/>
      <c r="H6" s="52"/>
      <c r="I6" s="52"/>
      <c r="J6" s="45"/>
      <c r="M6" s="46"/>
      <c r="N6" s="46"/>
      <c r="O6" s="46"/>
      <c r="P6" s="46"/>
      <c r="Q6" s="46"/>
      <c r="R6" s="46"/>
    </row>
    <row r="7" s="37" customFormat="1" ht="18" customHeight="1" spans="2:18">
      <c r="B7" s="43"/>
      <c r="C7" s="53" t="s">
        <v>2</v>
      </c>
      <c r="D7" s="54"/>
      <c r="E7" s="55" t="str">
        <f>TEXT(H7,"YYYYMMDD")</f>
        <v>20260410</v>
      </c>
      <c r="F7" s="49"/>
      <c r="G7" s="53" t="s">
        <v>3</v>
      </c>
      <c r="H7" s="56">
        <v>46122</v>
      </c>
      <c r="I7" s="55"/>
      <c r="J7" s="45"/>
      <c r="M7" s="46"/>
      <c r="N7" s="46"/>
      <c r="O7" s="46"/>
      <c r="P7" s="46"/>
      <c r="Q7" s="46"/>
      <c r="R7" s="46"/>
    </row>
    <row r="8" s="37" customFormat="1" ht="9" customHeight="1" spans="2:18">
      <c r="B8" s="43"/>
      <c r="C8" s="49"/>
      <c r="D8" s="49"/>
      <c r="E8" s="49"/>
      <c r="F8" s="49"/>
      <c r="G8" s="49"/>
      <c r="H8" s="49"/>
      <c r="I8" s="49"/>
      <c r="J8" s="45"/>
      <c r="M8" s="46"/>
      <c r="N8" s="46"/>
      <c r="O8" s="46"/>
      <c r="P8" s="46"/>
      <c r="Q8" s="46"/>
      <c r="R8" s="46"/>
    </row>
    <row r="9" ht="32.1" customHeight="1" spans="2:18">
      <c r="B9" s="57"/>
      <c r="C9" s="58" t="s">
        <v>4</v>
      </c>
      <c r="D9" s="58"/>
      <c r="E9" s="58"/>
      <c r="F9" s="59" t="s">
        <v>5</v>
      </c>
      <c r="G9" s="59" t="s">
        <v>6</v>
      </c>
      <c r="H9" s="59" t="s">
        <v>7</v>
      </c>
      <c r="I9" s="58" t="s">
        <v>8</v>
      </c>
      <c r="J9" s="60"/>
    </row>
    <row r="10" ht="22.5" customHeight="1" spans="2:18">
      <c r="B10" s="57"/>
      <c r="C10" s="61">
        <f>字数统计!C3</f>
        <v>0</v>
      </c>
      <c r="D10" s="62"/>
      <c r="E10" s="63"/>
      <c r="F10" s="64">
        <f>字数统计!D3</f>
        <v>0</v>
      </c>
      <c r="G10" s="64">
        <v>0.32</v>
      </c>
      <c r="H10" s="65">
        <f>F10*G10</f>
        <v>0</v>
      </c>
      <c r="I10" s="66" t="s">
        <v>9</v>
      </c>
      <c r="J10" s="60"/>
    </row>
    <row r="11" ht="22.5" customHeight="1" spans="2:18">
      <c r="B11" s="57"/>
      <c r="C11" s="61">
        <f>字数统计!C4</f>
        <v>0</v>
      </c>
      <c r="D11" s="62"/>
      <c r="E11" s="63"/>
      <c r="F11" s="64">
        <f>字数统计!D4</f>
        <v>0</v>
      </c>
      <c r="G11" s="64">
        <v>0.32</v>
      </c>
      <c r="H11" s="65">
        <f t="shared" ref="H11:H36" si="0">F11*G11</f>
        <v>0</v>
      </c>
      <c r="I11" s="66" t="s">
        <v>9</v>
      </c>
      <c r="J11" s="60"/>
    </row>
    <row r="12" ht="22.5" customHeight="1" spans="2:18">
      <c r="B12" s="57"/>
      <c r="C12" s="61">
        <f>字数统计!C5</f>
        <v>0</v>
      </c>
      <c r="D12" s="62"/>
      <c r="E12" s="63"/>
      <c r="F12" s="64">
        <f>字数统计!D5</f>
        <v>0</v>
      </c>
      <c r="G12" s="64">
        <v>0.32</v>
      </c>
      <c r="H12" s="65">
        <f t="shared" si="0"/>
        <v>0</v>
      </c>
      <c r="I12" s="66" t="s">
        <v>9</v>
      </c>
      <c r="J12" s="60"/>
    </row>
    <row r="13" ht="22.5" customHeight="1" spans="2:18">
      <c r="B13" s="57"/>
      <c r="C13" s="61">
        <f>字数统计!C6</f>
        <v>0</v>
      </c>
      <c r="D13" s="62"/>
      <c r="E13" s="63"/>
      <c r="F13" s="64">
        <f>字数统计!D6</f>
        <v>0</v>
      </c>
      <c r="G13" s="64">
        <v>0.32</v>
      </c>
      <c r="H13" s="65">
        <f t="shared" si="0"/>
        <v>0</v>
      </c>
      <c r="I13" s="66" t="s">
        <v>9</v>
      </c>
      <c r="J13" s="60"/>
    </row>
    <row r="14" ht="22.5" customHeight="1" spans="2:18">
      <c r="B14" s="57"/>
      <c r="C14" s="61">
        <f>字数统计!C7</f>
        <v>0</v>
      </c>
      <c r="D14" s="62"/>
      <c r="E14" s="63"/>
      <c r="F14" s="64">
        <f>字数统计!D7</f>
        <v>0</v>
      </c>
      <c r="G14" s="64">
        <v>0.32</v>
      </c>
      <c r="H14" s="65">
        <f t="shared" si="0"/>
        <v>0</v>
      </c>
      <c r="I14" s="66" t="s">
        <v>9</v>
      </c>
      <c r="J14" s="60"/>
    </row>
    <row r="15" ht="22.5" customHeight="1" spans="2:18">
      <c r="B15" s="57"/>
      <c r="C15" s="61">
        <f>字数统计!C8</f>
        <v>0</v>
      </c>
      <c r="D15" s="62"/>
      <c r="E15" s="63"/>
      <c r="F15" s="64">
        <f>字数统计!D8</f>
        <v>0</v>
      </c>
      <c r="G15" s="64">
        <v>0.32</v>
      </c>
      <c r="H15" s="65">
        <f t="shared" si="0"/>
        <v>0</v>
      </c>
      <c r="I15" s="66" t="s">
        <v>9</v>
      </c>
      <c r="J15" s="60"/>
    </row>
    <row r="16" ht="22.5" customHeight="1" spans="2:18">
      <c r="B16" s="57"/>
      <c r="C16" s="61">
        <f>字数统计!C9</f>
        <v>0</v>
      </c>
      <c r="D16" s="62"/>
      <c r="E16" s="63"/>
      <c r="F16" s="64">
        <f>字数统计!D9</f>
        <v>0</v>
      </c>
      <c r="G16" s="64">
        <v>0.32</v>
      </c>
      <c r="H16" s="65">
        <f t="shared" si="0"/>
        <v>0</v>
      </c>
      <c r="I16" s="66" t="s">
        <v>9</v>
      </c>
      <c r="J16" s="60"/>
    </row>
    <row r="17" ht="22.5" customHeight="1" spans="2:10">
      <c r="B17" s="57"/>
      <c r="C17" s="61">
        <f>字数统计!C10</f>
        <v>0</v>
      </c>
      <c r="D17" s="62"/>
      <c r="E17" s="63"/>
      <c r="F17" s="64">
        <f>字数统计!D10</f>
        <v>0</v>
      </c>
      <c r="G17" s="64">
        <v>0.32</v>
      </c>
      <c r="H17" s="65">
        <f t="shared" si="0"/>
        <v>0</v>
      </c>
      <c r="I17" s="66" t="s">
        <v>9</v>
      </c>
      <c r="J17" s="60"/>
    </row>
    <row r="18" ht="22.5" customHeight="1" spans="2:10">
      <c r="B18" s="57"/>
      <c r="C18" s="61">
        <f>字数统计!C11</f>
        <v>0</v>
      </c>
      <c r="D18" s="62"/>
      <c r="E18" s="63"/>
      <c r="F18" s="64">
        <f>字数统计!D11</f>
        <v>0</v>
      </c>
      <c r="G18" s="64">
        <v>0.32</v>
      </c>
      <c r="H18" s="65">
        <f t="shared" si="0"/>
        <v>0</v>
      </c>
      <c r="I18" s="66" t="s">
        <v>9</v>
      </c>
      <c r="J18" s="60"/>
    </row>
    <row r="19" ht="22.5" customHeight="1" spans="2:10">
      <c r="B19" s="57"/>
      <c r="C19" s="61">
        <f>字数统计!C12</f>
        <v>0</v>
      </c>
      <c r="D19" s="62"/>
      <c r="E19" s="63"/>
      <c r="F19" s="64">
        <f>字数统计!D12</f>
        <v>0</v>
      </c>
      <c r="G19" s="64">
        <v>0.32</v>
      </c>
      <c r="H19" s="65">
        <f t="shared" si="0"/>
        <v>0</v>
      </c>
      <c r="I19" s="66" t="s">
        <v>9</v>
      </c>
      <c r="J19" s="60"/>
    </row>
    <row r="20" ht="22.5" customHeight="1" spans="2:10">
      <c r="B20" s="57"/>
      <c r="C20" s="61">
        <f>字数统计!C13</f>
        <v>0</v>
      </c>
      <c r="D20" s="62"/>
      <c r="E20" s="63"/>
      <c r="F20" s="64">
        <f>字数统计!D13</f>
        <v>0</v>
      </c>
      <c r="G20" s="64">
        <v>0.32</v>
      </c>
      <c r="H20" s="65">
        <f t="shared" si="0"/>
        <v>0</v>
      </c>
      <c r="I20" s="66" t="s">
        <v>9</v>
      </c>
      <c r="J20" s="60"/>
    </row>
    <row r="21" ht="22.5" customHeight="1" spans="2:10">
      <c r="B21" s="57"/>
      <c r="C21" s="61">
        <f>字数统计!C14</f>
        <v>0</v>
      </c>
      <c r="D21" s="62"/>
      <c r="E21" s="63"/>
      <c r="F21" s="64">
        <f>字数统计!D14</f>
        <v>0</v>
      </c>
      <c r="G21" s="64">
        <v>0.32</v>
      </c>
      <c r="H21" s="65">
        <f t="shared" si="0"/>
        <v>0</v>
      </c>
      <c r="I21" s="66" t="s">
        <v>9</v>
      </c>
      <c r="J21" s="60"/>
    </row>
    <row r="22" ht="22.5" customHeight="1" spans="2:10">
      <c r="B22" s="57"/>
      <c r="C22" s="61">
        <f>字数统计!C15</f>
        <v>0</v>
      </c>
      <c r="D22" s="62"/>
      <c r="E22" s="63"/>
      <c r="F22" s="64">
        <f>字数统计!D15</f>
        <v>0</v>
      </c>
      <c r="G22" s="64">
        <v>0.32</v>
      </c>
      <c r="H22" s="65">
        <f t="shared" si="0"/>
        <v>0</v>
      </c>
      <c r="I22" s="66" t="s">
        <v>10</v>
      </c>
      <c r="J22" s="60"/>
    </row>
    <row r="23" ht="22.5" customHeight="1" spans="2:10">
      <c r="B23" s="57"/>
      <c r="C23" s="61">
        <f>字数统计!C16</f>
        <v>0</v>
      </c>
      <c r="D23" s="62"/>
      <c r="E23" s="63"/>
      <c r="F23" s="64">
        <f>字数统计!D16</f>
        <v>0</v>
      </c>
      <c r="G23" s="64">
        <v>0.32</v>
      </c>
      <c r="H23" s="65">
        <f t="shared" si="0"/>
        <v>0</v>
      </c>
      <c r="I23" s="66" t="s">
        <v>10</v>
      </c>
      <c r="J23" s="60"/>
    </row>
    <row r="24" s="38" customFormat="1" ht="20.1" customHeight="1" spans="2:10">
      <c r="B24" s="67"/>
      <c r="C24" s="61">
        <f>字数统计!C17</f>
        <v>0</v>
      </c>
      <c r="D24" s="62"/>
      <c r="E24" s="63"/>
      <c r="F24" s="64">
        <f>字数统计!D17</f>
        <v>0</v>
      </c>
      <c r="G24" s="64">
        <v>0.32</v>
      </c>
      <c r="H24" s="65">
        <f t="shared" si="0"/>
        <v>0</v>
      </c>
      <c r="I24" s="66" t="s">
        <v>11</v>
      </c>
      <c r="J24" s="68"/>
    </row>
    <row r="25" s="38" customFormat="1" ht="20.1" customHeight="1" spans="2:10">
      <c r="B25" s="67"/>
      <c r="C25" s="61">
        <f>字数统计!C18</f>
        <v>0</v>
      </c>
      <c r="D25" s="62"/>
      <c r="E25" s="63"/>
      <c r="F25" s="64">
        <f>字数统计!D18</f>
        <v>0</v>
      </c>
      <c r="G25" s="64">
        <v>0.32</v>
      </c>
      <c r="H25" s="65">
        <f t="shared" si="0"/>
        <v>0</v>
      </c>
      <c r="I25" s="66" t="s">
        <v>11</v>
      </c>
      <c r="J25" s="68"/>
    </row>
    <row r="26" s="38" customFormat="1" ht="20.1" customHeight="1" spans="2:10">
      <c r="B26" s="67"/>
      <c r="C26" s="61">
        <f>字数统计!C19</f>
        <v>0</v>
      </c>
      <c r="D26" s="62"/>
      <c r="E26" s="63"/>
      <c r="F26" s="64">
        <f>字数统计!D19</f>
        <v>0</v>
      </c>
      <c r="G26" s="64">
        <v>0.32</v>
      </c>
      <c r="H26" s="65">
        <f t="shared" si="0"/>
        <v>0</v>
      </c>
      <c r="I26" s="66" t="s">
        <v>11</v>
      </c>
      <c r="J26" s="68"/>
    </row>
    <row r="27" s="38" customFormat="1" ht="20.1" customHeight="1" spans="2:10">
      <c r="B27" s="67"/>
      <c r="C27" s="61">
        <f>字数统计!C20</f>
        <v>0</v>
      </c>
      <c r="D27" s="62"/>
      <c r="E27" s="63"/>
      <c r="F27" s="64">
        <f>字数统计!D20</f>
        <v>0</v>
      </c>
      <c r="G27" s="64">
        <v>0.32</v>
      </c>
      <c r="H27" s="65">
        <f t="shared" si="0"/>
        <v>0</v>
      </c>
      <c r="I27" s="66"/>
      <c r="J27" s="68"/>
    </row>
    <row r="28" s="38" customFormat="1" ht="20.1" customHeight="1" spans="2:10">
      <c r="B28" s="67"/>
      <c r="C28" s="61">
        <f>字数统计!C21</f>
        <v>0</v>
      </c>
      <c r="D28" s="62"/>
      <c r="E28" s="63"/>
      <c r="F28" s="64">
        <f>字数统计!D21</f>
        <v>0</v>
      </c>
      <c r="G28" s="64">
        <v>0.32</v>
      </c>
      <c r="H28" s="65">
        <f t="shared" si="0"/>
        <v>0</v>
      </c>
      <c r="I28" s="66"/>
      <c r="J28" s="68"/>
    </row>
    <row r="29" s="38" customFormat="1" ht="20.1" customHeight="1" spans="2:10">
      <c r="B29" s="67"/>
      <c r="C29" s="61">
        <f>字数统计!C22</f>
        <v>0</v>
      </c>
      <c r="D29" s="62"/>
      <c r="E29" s="63"/>
      <c r="F29" s="64">
        <f>字数统计!D22</f>
        <v>0</v>
      </c>
      <c r="G29" s="64">
        <v>0.32</v>
      </c>
      <c r="H29" s="65">
        <f t="shared" si="0"/>
        <v>0</v>
      </c>
      <c r="I29" s="66">
        <f>字数统计!E22</f>
        <v>0</v>
      </c>
      <c r="J29" s="68"/>
    </row>
    <row r="30" s="38" customFormat="1" ht="20.1" customHeight="1" spans="2:10">
      <c r="B30" s="67"/>
      <c r="C30" s="61">
        <f>字数统计!C23</f>
        <v>0</v>
      </c>
      <c r="D30" s="62"/>
      <c r="E30" s="63"/>
      <c r="F30" s="64">
        <f>字数统计!D23</f>
        <v>0</v>
      </c>
      <c r="G30" s="64">
        <v>0.32</v>
      </c>
      <c r="H30" s="65">
        <f t="shared" si="0"/>
        <v>0</v>
      </c>
      <c r="I30" s="66">
        <f>字数统计!E23</f>
        <v>0</v>
      </c>
      <c r="J30" s="68"/>
    </row>
    <row r="31" s="38" customFormat="1" ht="20.1" customHeight="1" spans="2:10">
      <c r="B31" s="67"/>
      <c r="C31" s="61">
        <f>字数统计!C24</f>
        <v>0</v>
      </c>
      <c r="D31" s="62"/>
      <c r="E31" s="63"/>
      <c r="F31" s="64">
        <f>字数统计!D24</f>
        <v>0</v>
      </c>
      <c r="G31" s="64">
        <v>0.32</v>
      </c>
      <c r="H31" s="65">
        <f t="shared" si="0"/>
        <v>0</v>
      </c>
      <c r="I31" s="66">
        <f>字数统计!E24</f>
        <v>0</v>
      </c>
      <c r="J31" s="68"/>
    </row>
    <row r="32" s="38" customFormat="1" ht="20.1" customHeight="1" spans="2:10">
      <c r="B32" s="67"/>
      <c r="C32" s="61">
        <f>字数统计!C25</f>
        <v>0</v>
      </c>
      <c r="D32" s="62"/>
      <c r="E32" s="63"/>
      <c r="F32" s="64">
        <f>字数统计!D25</f>
        <v>0</v>
      </c>
      <c r="G32" s="64">
        <v>0.32</v>
      </c>
      <c r="H32" s="65">
        <f t="shared" si="0"/>
        <v>0</v>
      </c>
      <c r="I32" s="66">
        <f>字数统计!E38</f>
        <v>0</v>
      </c>
      <c r="J32" s="68"/>
    </row>
    <row r="33" s="38" customFormat="1" ht="20.1" customHeight="1" spans="2:10">
      <c r="B33" s="67"/>
      <c r="C33" s="61">
        <f>字数统计!C26</f>
        <v>0</v>
      </c>
      <c r="D33" s="62"/>
      <c r="E33" s="63"/>
      <c r="F33" s="64">
        <f>字数统计!D26</f>
        <v>0</v>
      </c>
      <c r="G33" s="64">
        <v>0.32</v>
      </c>
      <c r="H33" s="65">
        <f t="shared" si="0"/>
        <v>0</v>
      </c>
      <c r="I33" s="66">
        <f>字数统计!E39</f>
        <v>0</v>
      </c>
      <c r="J33" s="68"/>
    </row>
    <row r="34" s="38" customFormat="1" ht="20.1" customHeight="1" spans="2:10">
      <c r="B34" s="67"/>
      <c r="C34" s="61">
        <f>字数统计!C27</f>
        <v>0</v>
      </c>
      <c r="D34" s="62"/>
      <c r="E34" s="63"/>
      <c r="F34" s="64">
        <f>字数统计!D27</f>
        <v>0</v>
      </c>
      <c r="G34" s="64">
        <v>0.32</v>
      </c>
      <c r="H34" s="65">
        <f t="shared" si="0"/>
        <v>0</v>
      </c>
      <c r="I34" s="66">
        <f>字数统计!E40</f>
        <v>0</v>
      </c>
      <c r="J34" s="68"/>
    </row>
    <row r="35" s="38" customFormat="1" ht="20.1" customHeight="1" spans="2:10">
      <c r="B35" s="67"/>
      <c r="C35" s="61">
        <f>字数统计!C28</f>
        <v>0</v>
      </c>
      <c r="D35" s="62"/>
      <c r="E35" s="63"/>
      <c r="F35" s="64">
        <f>字数统计!D28</f>
        <v>0</v>
      </c>
      <c r="G35" s="64">
        <v>0.32</v>
      </c>
      <c r="H35" s="65">
        <f t="shared" si="0"/>
        <v>0</v>
      </c>
      <c r="I35" s="66">
        <f>字数统计!E41</f>
        <v>0</v>
      </c>
      <c r="J35" s="68"/>
    </row>
    <row r="36" s="38" customFormat="1" ht="20.1" customHeight="1" spans="2:10">
      <c r="B36" s="67"/>
      <c r="C36" s="61">
        <f>字数统计!C29</f>
        <v>0</v>
      </c>
      <c r="D36" s="62"/>
      <c r="E36" s="63"/>
      <c r="F36" s="64">
        <f>字数统计!D29</f>
        <v>0</v>
      </c>
      <c r="G36" s="64">
        <v>0.32</v>
      </c>
      <c r="H36" s="65">
        <f t="shared" ref="H36:H46" si="1">F36*G36</f>
        <v>0</v>
      </c>
      <c r="I36" s="69"/>
      <c r="J36" s="68"/>
    </row>
    <row r="37" s="38" customFormat="1" ht="20.1" customHeight="1" spans="2:10">
      <c r="B37" s="67"/>
      <c r="C37" s="61">
        <f>字数统计!C30</f>
        <v>0</v>
      </c>
      <c r="D37" s="62"/>
      <c r="E37" s="63"/>
      <c r="F37" s="64">
        <f>字数统计!D30</f>
        <v>0</v>
      </c>
      <c r="G37" s="64">
        <v>0.32</v>
      </c>
      <c r="H37" s="65">
        <f t="shared" si="1"/>
        <v>0</v>
      </c>
      <c r="I37" s="69"/>
      <c r="J37" s="68"/>
    </row>
    <row r="38" s="38" customFormat="1" ht="20.1" customHeight="1" spans="2:10">
      <c r="B38" s="67"/>
      <c r="C38" s="61">
        <f>字数统计!C31</f>
        <v>0</v>
      </c>
      <c r="D38" s="62"/>
      <c r="E38" s="63"/>
      <c r="F38" s="64">
        <f>字数统计!D31</f>
        <v>0</v>
      </c>
      <c r="G38" s="64">
        <v>0.32</v>
      </c>
      <c r="H38" s="65">
        <f t="shared" si="1"/>
        <v>0</v>
      </c>
      <c r="I38" s="69"/>
      <c r="J38" s="68"/>
    </row>
    <row r="39" s="38" customFormat="1" ht="20.1" customHeight="1" spans="2:10">
      <c r="B39" s="67"/>
      <c r="C39" s="61">
        <f>字数统计!C32</f>
        <v>0</v>
      </c>
      <c r="D39" s="62"/>
      <c r="E39" s="63"/>
      <c r="F39" s="64">
        <f>字数统计!D32</f>
        <v>0</v>
      </c>
      <c r="G39" s="64">
        <v>0.32</v>
      </c>
      <c r="H39" s="65">
        <f t="shared" si="1"/>
        <v>0</v>
      </c>
      <c r="I39" s="69"/>
      <c r="J39" s="68"/>
    </row>
    <row r="40" s="38" customFormat="1" ht="20.1" customHeight="1" spans="2:10">
      <c r="B40" s="67"/>
      <c r="C40" s="61">
        <f>字数统计!C33</f>
        <v>0</v>
      </c>
      <c r="D40" s="62"/>
      <c r="E40" s="63"/>
      <c r="F40" s="64">
        <f>字数统计!D33</f>
        <v>0</v>
      </c>
      <c r="G40" s="64">
        <v>0.32</v>
      </c>
      <c r="H40" s="65">
        <f t="shared" si="1"/>
        <v>0</v>
      </c>
      <c r="I40" s="69"/>
      <c r="J40" s="68"/>
    </row>
    <row r="41" s="38" customFormat="1" ht="20.1" customHeight="1" spans="2:10">
      <c r="B41" s="67"/>
      <c r="C41" s="61">
        <f>字数统计!C34</f>
        <v>0</v>
      </c>
      <c r="D41" s="62"/>
      <c r="E41" s="63"/>
      <c r="F41" s="64">
        <f>字数统计!D34</f>
        <v>0</v>
      </c>
      <c r="G41" s="64">
        <v>0.32</v>
      </c>
      <c r="H41" s="65">
        <f t="shared" si="1"/>
        <v>0</v>
      </c>
      <c r="I41" s="69"/>
      <c r="J41" s="68"/>
    </row>
    <row r="42" s="38" customFormat="1" ht="20.1" customHeight="1" spans="2:10">
      <c r="B42" s="67"/>
      <c r="C42" s="61">
        <f>字数统计!C35</f>
        <v>0</v>
      </c>
      <c r="D42" s="62"/>
      <c r="E42" s="63"/>
      <c r="F42" s="64">
        <f>字数统计!D35</f>
        <v>0</v>
      </c>
      <c r="G42" s="64">
        <v>0.32</v>
      </c>
      <c r="H42" s="65">
        <f t="shared" si="1"/>
        <v>0</v>
      </c>
      <c r="I42" s="69"/>
      <c r="J42" s="68"/>
    </row>
    <row r="43" s="38" customFormat="1" ht="20.1" customHeight="1" spans="2:10">
      <c r="B43" s="67"/>
      <c r="C43" s="61">
        <f>字数统计!C36</f>
        <v>0</v>
      </c>
      <c r="D43" s="62"/>
      <c r="E43" s="63"/>
      <c r="F43" s="64">
        <f>字数统计!D36</f>
        <v>0</v>
      </c>
      <c r="G43" s="64">
        <v>0.32</v>
      </c>
      <c r="H43" s="65">
        <f t="shared" si="1"/>
        <v>0</v>
      </c>
      <c r="I43" s="69"/>
      <c r="J43" s="68"/>
    </row>
    <row r="44" s="38" customFormat="1" ht="20.1" customHeight="1" spans="2:10">
      <c r="B44" s="67"/>
      <c r="C44" s="61">
        <f>字数统计!C37</f>
        <v>0</v>
      </c>
      <c r="D44" s="62"/>
      <c r="E44" s="63"/>
      <c r="F44" s="64">
        <f>字数统计!D37</f>
        <v>0</v>
      </c>
      <c r="G44" s="64">
        <v>0.32</v>
      </c>
      <c r="H44" s="65">
        <f t="shared" si="1"/>
        <v>0</v>
      </c>
      <c r="I44" s="69"/>
      <c r="J44" s="68"/>
    </row>
    <row r="45" s="38" customFormat="1" ht="20.1" customHeight="1" spans="2:10">
      <c r="B45" s="67"/>
      <c r="C45" s="61">
        <f>字数统计!C38</f>
        <v>0</v>
      </c>
      <c r="D45" s="62"/>
      <c r="E45" s="63"/>
      <c r="F45" s="64">
        <f>字数统计!D38</f>
        <v>0</v>
      </c>
      <c r="G45" s="64">
        <v>0.32</v>
      </c>
      <c r="H45" s="65">
        <f t="shared" si="1"/>
        <v>0</v>
      </c>
      <c r="I45" s="69"/>
      <c r="J45" s="68"/>
    </row>
    <row r="46" s="38" customFormat="1" ht="20.1" customHeight="1" spans="2:10">
      <c r="B46" s="67"/>
      <c r="C46" s="70" t="s">
        <v>12</v>
      </c>
      <c r="D46" s="71"/>
      <c r="E46" s="72"/>
      <c r="F46" s="73">
        <f>SUM(F10:F35)</f>
        <v>0</v>
      </c>
      <c r="G46" s="64">
        <v>0.32</v>
      </c>
      <c r="H46" s="74">
        <f t="shared" si="1"/>
        <v>0</v>
      </c>
      <c r="I46" s="64"/>
      <c r="J46" s="68"/>
    </row>
    <row r="47" s="38" customFormat="1" ht="20.1" customHeight="1" spans="2:10">
      <c r="B47" s="67"/>
      <c r="C47" s="75"/>
      <c r="D47" s="75"/>
      <c r="E47" s="75"/>
      <c r="F47" s="76"/>
      <c r="G47" s="76"/>
      <c r="H47" s="77"/>
      <c r="I47" s="78"/>
      <c r="J47" s="68"/>
    </row>
    <row r="48" s="38" customFormat="1" ht="20.1" customHeight="1" spans="2:10">
      <c r="B48" s="67"/>
      <c r="C48" s="79" t="s">
        <v>13</v>
      </c>
      <c r="D48" s="79"/>
      <c r="E48" s="79"/>
      <c r="F48" s="79"/>
      <c r="G48" s="79"/>
      <c r="H48" s="79"/>
      <c r="I48" s="79"/>
      <c r="J48" s="68"/>
    </row>
    <row r="49" s="38" customFormat="1" ht="20.1" customHeight="1" spans="2:12">
      <c r="B49" s="67"/>
      <c r="C49" s="80" t="s">
        <v>14</v>
      </c>
      <c r="D49" s="80"/>
      <c r="E49" s="81">
        <v>46136</v>
      </c>
      <c r="F49" s="82"/>
      <c r="G49" s="82"/>
      <c r="H49" s="82"/>
      <c r="I49" s="82"/>
      <c r="J49" s="68"/>
    </row>
    <row r="50" s="38" customFormat="1" ht="20.1" customHeight="1" spans="2:12">
      <c r="B50" s="67"/>
      <c r="C50" s="79"/>
      <c r="D50" s="79"/>
      <c r="E50" s="79"/>
      <c r="F50" s="79"/>
      <c r="G50" s="79"/>
      <c r="H50" s="79"/>
      <c r="I50" s="79"/>
      <c r="J50" s="68"/>
      <c r="K50" s="83"/>
      <c r="L50" s="84"/>
    </row>
    <row r="51" s="38" customFormat="1" spans="2:12">
      <c r="B51" s="67"/>
      <c r="C51" s="79"/>
      <c r="D51" s="79"/>
      <c r="E51" s="79"/>
      <c r="F51" s="79"/>
      <c r="G51" s="79"/>
      <c r="H51" s="79"/>
      <c r="I51" s="79"/>
      <c r="J51" s="68"/>
      <c r="K51" s="83"/>
      <c r="L51" s="84"/>
    </row>
    <row r="52" s="38" customFormat="1" ht="20.1" customHeight="1" spans="2:12">
      <c r="B52" s="67"/>
      <c r="C52" s="75"/>
      <c r="D52" s="75"/>
      <c r="E52" s="75"/>
      <c r="F52" s="76"/>
      <c r="G52" s="76"/>
      <c r="H52" s="77"/>
      <c r="I52" s="78"/>
      <c r="J52" s="68"/>
      <c r="K52" s="83"/>
      <c r="L52" s="84"/>
    </row>
    <row r="53" ht="18.75" customHeight="1" spans="2:12">
      <c r="B53" s="57"/>
      <c r="C53" s="85"/>
      <c r="D53" s="85"/>
      <c r="E53" s="85"/>
      <c r="F53" s="85"/>
      <c r="G53" s="85"/>
      <c r="H53" s="85"/>
      <c r="I53" s="85"/>
      <c r="J53" s="60"/>
      <c r="L53" s="86"/>
    </row>
    <row r="54" spans="2:12">
      <c r="B54" s="57"/>
      <c r="C54" s="87" t="s">
        <v>15</v>
      </c>
      <c r="D54" s="87"/>
      <c r="E54" s="87"/>
      <c r="F54" s="87"/>
      <c r="G54" s="87"/>
      <c r="H54" s="87"/>
      <c r="I54" s="87"/>
      <c r="J54" s="60"/>
    </row>
    <row r="55" ht="20.25" customHeight="1" spans="2:12">
      <c r="B55" s="57"/>
      <c r="C55" s="88" t="s">
        <v>16</v>
      </c>
      <c r="D55" s="79"/>
      <c r="E55" s="79"/>
      <c r="F55" s="79"/>
      <c r="G55" s="79"/>
      <c r="H55" s="79"/>
      <c r="I55" s="79"/>
      <c r="J55" s="60"/>
    </row>
    <row r="56" ht="15.75" customHeight="1" spans="2:12">
      <c r="B56" s="57"/>
      <c r="C56" s="88" t="s">
        <v>17</v>
      </c>
      <c r="D56" s="89"/>
      <c r="E56" s="89"/>
      <c r="J56" s="60"/>
    </row>
    <row r="57" ht="26.25" customHeight="1" spans="2:12">
      <c r="B57" s="57"/>
      <c r="C57" s="88" t="s">
        <v>18</v>
      </c>
      <c r="D57" s="89"/>
      <c r="E57" s="89"/>
      <c r="J57" s="60"/>
    </row>
    <row r="58" ht="18" customHeight="1" spans="2:12">
      <c r="B58" s="57"/>
      <c r="C58" s="50" t="s">
        <v>19</v>
      </c>
      <c r="D58" s="51"/>
      <c r="E58" s="51"/>
      <c r="F58" s="52"/>
      <c r="G58" s="52"/>
      <c r="H58" s="52"/>
      <c r="I58" s="52"/>
      <c r="J58" s="60"/>
    </row>
    <row r="59" ht="39.75" customHeight="1" spans="2:12">
      <c r="B59" s="57"/>
      <c r="C59" s="90"/>
      <c r="D59" s="91"/>
      <c r="E59" s="91"/>
      <c r="F59" s="49"/>
      <c r="G59" s="49"/>
      <c r="H59" s="49"/>
      <c r="I59" s="49"/>
      <c r="J59" s="60"/>
    </row>
    <row r="60" ht="18" customHeight="1" spans="2:12">
      <c r="B60" s="57"/>
      <c r="C60" s="92" t="s">
        <v>20</v>
      </c>
      <c r="E60" s="93" t="s">
        <v>21</v>
      </c>
      <c r="J60" s="60"/>
    </row>
    <row r="61" ht="18" customHeight="1" spans="2:12">
      <c r="B61" s="57"/>
      <c r="C61" s="92" t="s">
        <v>22</v>
      </c>
      <c r="E61" s="93" t="s">
        <v>23</v>
      </c>
      <c r="I61" s="94"/>
      <c r="J61" s="60"/>
    </row>
    <row r="62" ht="18" customHeight="1" spans="2:12">
      <c r="B62" s="57"/>
      <c r="C62" s="92" t="s">
        <v>24</v>
      </c>
      <c r="E62" s="93" t="s">
        <v>25</v>
      </c>
      <c r="J62" s="60"/>
    </row>
    <row r="63" ht="18" customHeight="1" spans="2:12">
      <c r="B63" s="57"/>
      <c r="C63" s="92" t="s">
        <v>26</v>
      </c>
      <c r="D63" s="94"/>
      <c r="E63" s="55">
        <v>13654287085</v>
      </c>
      <c r="F63" s="94"/>
      <c r="G63" s="94"/>
      <c r="I63" s="94"/>
      <c r="J63" s="60"/>
    </row>
    <row r="64" ht="18" customHeight="1" spans="2:12">
      <c r="B64" s="57"/>
      <c r="C64" s="92"/>
      <c r="D64" s="94"/>
      <c r="E64" s="93"/>
      <c r="F64" s="94"/>
      <c r="G64" s="94"/>
      <c r="I64" s="94"/>
      <c r="J64" s="60"/>
    </row>
    <row r="65" ht="17.25" spans="2:10">
      <c r="B65" s="95"/>
      <c r="C65" s="96"/>
      <c r="D65" s="96"/>
      <c r="E65" s="96"/>
      <c r="F65" s="96"/>
      <c r="G65" s="96"/>
      <c r="H65" s="96"/>
      <c r="I65" s="96"/>
      <c r="J65" s="97"/>
    </row>
    <row r="69" spans="2:10">
      <c r="F69" s="98"/>
    </row>
  </sheetData>
  <mergeCells count="44"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8:I48"/>
    <mergeCell ref="C50:I50"/>
    <mergeCell ref="C51:I51"/>
    <mergeCell ref="C53:I53"/>
    <mergeCell ref="C54:I54"/>
    <mergeCell ref="C3:I4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G41"/>
  <sheetViews>
    <sheetView topLeftCell="C1" workbookViewId="0">
      <selection activeCell="E21" sqref="E3:E21"/>
    </sheetView>
  </sheetViews>
  <sheetFormatPr defaultColWidth="9" defaultRowHeight="14.25" outlineLevelCol="6"/>
  <cols>
    <col min="1" max="1" width="25.125" customWidth="1"/>
    <col min="2" max="2" width="51" customWidth="1"/>
    <col min="3" max="3" width="154.25" customWidth="1"/>
    <col min="4" max="4" width="19.5" customWidth="1"/>
    <col min="5" max="7" width="13.25" customWidth="1"/>
    <col min="8" max="8" width="17.5" customWidth="1"/>
    <col min="9" max="9" width="13.25" customWidth="1"/>
  </cols>
  <sheetData>
    <row r="2" ht="15.75" spans="3:7">
      <c r="C2" s="21" t="s">
        <v>27</v>
      </c>
      <c r="D2" s="22" t="s">
        <v>28</v>
      </c>
      <c r="E2" s="23" t="s">
        <v>29</v>
      </c>
      <c r="F2" s="24" t="s">
        <v>30</v>
      </c>
      <c r="G2" s="25" t="s">
        <v>31</v>
      </c>
    </row>
    <row r="3" ht="17.25" spans="3:7">
      <c r="C3" s="26">
        <f>'字数统计2 '!A1</f>
        <v>0</v>
      </c>
      <c r="D3" s="27">
        <f>'字数统计2 '!J13</f>
        <v>0</v>
      </c>
      <c r="E3" s="28"/>
      <c r="F3" s="29"/>
      <c r="G3" s="30"/>
    </row>
    <row r="4" ht="17.25" spans="3:7">
      <c r="C4" s="31">
        <f>'字数统计2 '!A21</f>
        <v>0</v>
      </c>
      <c r="D4" s="27">
        <f>'字数统计2 '!J33</f>
        <v>0</v>
      </c>
      <c r="E4" s="28"/>
      <c r="F4" s="29"/>
      <c r="G4" s="30"/>
    </row>
    <row r="5" ht="17.25" spans="3:7">
      <c r="C5" s="31">
        <f>'字数统计2 '!A41</f>
        <v>0</v>
      </c>
      <c r="D5" s="27">
        <f>'字数统计2 '!J53</f>
        <v>0</v>
      </c>
      <c r="E5" s="28"/>
      <c r="F5" s="29"/>
      <c r="G5" s="30"/>
    </row>
    <row r="6" ht="17.25" spans="3:7">
      <c r="C6" s="31">
        <f>'字数统计2 '!A61</f>
        <v>0</v>
      </c>
      <c r="D6" s="27">
        <f>'字数统计2 '!J73</f>
        <v>0</v>
      </c>
      <c r="E6" s="28"/>
      <c r="F6" s="29"/>
      <c r="G6" s="30"/>
    </row>
    <row r="7" ht="17.25" spans="3:7">
      <c r="C7" s="31">
        <f>'字数统计2 '!A81</f>
        <v>0</v>
      </c>
      <c r="D7" s="27">
        <f>'字数统计2 '!J93</f>
        <v>0</v>
      </c>
      <c r="E7" s="28"/>
      <c r="F7" s="29"/>
      <c r="G7" s="30"/>
    </row>
    <row r="8" ht="17.25" spans="3:7">
      <c r="C8" s="31">
        <f>'字数统计2 '!A101</f>
        <v>0</v>
      </c>
      <c r="D8" s="27">
        <f>'字数统计2 '!J113</f>
        <v>0</v>
      </c>
      <c r="E8" s="28"/>
      <c r="F8" s="29"/>
      <c r="G8" s="30"/>
    </row>
    <row r="9" ht="17.25" spans="3:7">
      <c r="C9" s="31">
        <f>'字数统计2 '!A121</f>
        <v>0</v>
      </c>
      <c r="D9" s="27">
        <f>'字数统计2 '!J133</f>
        <v>0</v>
      </c>
      <c r="E9" s="28"/>
      <c r="F9" s="29"/>
      <c r="G9" s="30"/>
    </row>
    <row r="10" ht="17.25" spans="3:7">
      <c r="C10" s="31">
        <f>'字数统计2 '!A141</f>
        <v>0</v>
      </c>
      <c r="D10" s="27">
        <f>'字数统计2 '!J153</f>
        <v>0</v>
      </c>
      <c r="E10" s="28"/>
      <c r="F10" s="29"/>
      <c r="G10" s="30"/>
    </row>
    <row r="11" ht="17.25" spans="3:7">
      <c r="C11" s="31">
        <f>'字数统计2 '!A161</f>
        <v>0</v>
      </c>
      <c r="D11" s="27">
        <f>'字数统计2 '!J173</f>
        <v>0</v>
      </c>
      <c r="E11" s="28"/>
      <c r="F11" s="29"/>
      <c r="G11" s="30"/>
    </row>
    <row r="12" ht="17.25" spans="3:7">
      <c r="C12" s="31">
        <f>'字数统计2 '!A181</f>
        <v>0</v>
      </c>
      <c r="D12" s="27">
        <f>'字数统计2 '!J193</f>
        <v>0</v>
      </c>
      <c r="E12" s="28"/>
      <c r="F12" s="29"/>
      <c r="G12" s="30"/>
    </row>
    <row r="13" ht="17.25" spans="3:7">
      <c r="C13" s="31">
        <f>'字数统计2 '!A201</f>
        <v>0</v>
      </c>
      <c r="D13" s="27">
        <f>'字数统计2 '!J213</f>
        <v>0</v>
      </c>
      <c r="E13" s="28"/>
      <c r="F13" s="29"/>
      <c r="G13" s="30"/>
    </row>
    <row r="14" ht="17.25" spans="3:7">
      <c r="C14" s="31">
        <f>'字数统计2 '!A221</f>
        <v>0</v>
      </c>
      <c r="D14" s="27">
        <f>'字数统计2 '!J233</f>
        <v>0</v>
      </c>
      <c r="E14" s="28"/>
      <c r="F14" s="29"/>
      <c r="G14" s="30"/>
    </row>
    <row r="15" ht="17.25" spans="3:7">
      <c r="C15" s="31">
        <f>'字数统计2 '!A241</f>
        <v>0</v>
      </c>
      <c r="D15" s="27">
        <f>'字数统计2 '!J253</f>
        <v>0</v>
      </c>
      <c r="E15" s="28"/>
      <c r="F15" s="29"/>
      <c r="G15" s="30"/>
    </row>
    <row r="16" ht="17.25" spans="3:7">
      <c r="C16" s="31">
        <f>'字数统计2 '!A261</f>
        <v>0</v>
      </c>
      <c r="D16" s="27">
        <f>'字数统计2 '!J273</f>
        <v>0</v>
      </c>
      <c r="E16" s="28"/>
      <c r="F16" s="29"/>
      <c r="G16" s="30"/>
    </row>
    <row r="17" ht="17.25" spans="3:7">
      <c r="C17" s="31">
        <f>'字数统计2 '!A281</f>
        <v>0</v>
      </c>
      <c r="D17" s="27">
        <f>'字数统计2 '!J293</f>
        <v>0</v>
      </c>
      <c r="E17" s="28"/>
      <c r="F17" s="29"/>
      <c r="G17" s="30"/>
    </row>
    <row r="18" ht="17.25" spans="3:7">
      <c r="C18" s="31">
        <f>'字数统计2 '!A301</f>
        <v>0</v>
      </c>
      <c r="D18" s="27">
        <f>'字数统计2 '!J313</f>
        <v>0</v>
      </c>
      <c r="E18" s="28"/>
      <c r="F18" s="29"/>
      <c r="G18" s="32"/>
    </row>
    <row r="19" ht="17.25" spans="3:7">
      <c r="C19" s="31">
        <f>'字数统计2 '!A321</f>
        <v>0</v>
      </c>
      <c r="D19" s="27">
        <f>'字数统计2 '!J333</f>
        <v>0</v>
      </c>
      <c r="E19" s="28"/>
      <c r="F19" s="29"/>
      <c r="G19" s="33"/>
    </row>
    <row r="20" ht="17.25" spans="3:7">
      <c r="C20" s="31">
        <f>'字数统计2 '!A341</f>
        <v>0</v>
      </c>
      <c r="D20" s="27">
        <f>'字数统计2 '!J353</f>
        <v>0</v>
      </c>
      <c r="E20" s="28"/>
      <c r="F20" s="29"/>
      <c r="G20" s="33"/>
    </row>
    <row r="21" ht="17.25" spans="3:7">
      <c r="C21" s="31">
        <f>'字数统计2 '!A361</f>
        <v>0</v>
      </c>
      <c r="D21" s="27">
        <f>'字数统计2 '!J373</f>
        <v>0</v>
      </c>
      <c r="E21" s="28"/>
      <c r="F21" s="29"/>
      <c r="G21" s="33"/>
    </row>
    <row r="22" ht="17.25" spans="3:7">
      <c r="C22" s="31">
        <f>'字数统计2 '!A381</f>
        <v>0</v>
      </c>
      <c r="D22" s="27">
        <f>'字数统计2 '!J393</f>
        <v>0</v>
      </c>
      <c r="E22" s="28"/>
      <c r="F22" s="29"/>
      <c r="G22" s="33"/>
    </row>
    <row r="23" ht="17.25" spans="3:7">
      <c r="C23" s="31">
        <f>'字数统计2 '!A401</f>
        <v>0</v>
      </c>
      <c r="D23" s="27">
        <f>'字数统计2 '!J413</f>
        <v>0</v>
      </c>
      <c r="E23" s="34"/>
      <c r="F23" s="29"/>
      <c r="G23" s="33"/>
    </row>
    <row r="24" ht="17.25" spans="3:7">
      <c r="C24" s="31">
        <f>'字数统计2 '!A421</f>
        <v>0</v>
      </c>
      <c r="D24" s="27">
        <f>'字数统计2 '!J433</f>
        <v>0</v>
      </c>
      <c r="E24" s="34"/>
      <c r="F24" s="29"/>
      <c r="G24" s="33"/>
    </row>
    <row r="25" ht="17.25" spans="3:7">
      <c r="C25" s="31">
        <f>'字数统计2 '!A441</f>
        <v>0</v>
      </c>
      <c r="D25" s="27">
        <f>'字数统计2 '!J453</f>
        <v>0</v>
      </c>
      <c r="E25" s="34"/>
      <c r="F25" s="29"/>
      <c r="G25" s="33"/>
    </row>
    <row r="26" ht="17.25" spans="3:7">
      <c r="C26" s="31">
        <f>'字数统计2 '!A461</f>
        <v>0</v>
      </c>
      <c r="D26" s="27">
        <f>'字数统计2 '!J473</f>
        <v>0</v>
      </c>
      <c r="E26" s="34"/>
      <c r="F26" s="29"/>
      <c r="G26" s="33"/>
    </row>
    <row r="27" ht="17.25" spans="3:7">
      <c r="C27" s="31">
        <f>'字数统计2 '!A481</f>
        <v>0</v>
      </c>
      <c r="D27" s="27">
        <f>'字数统计2 '!J493</f>
        <v>0</v>
      </c>
      <c r="E27" s="34"/>
      <c r="F27" s="29"/>
      <c r="G27" s="33"/>
    </row>
    <row r="28" ht="17.25" spans="3:7">
      <c r="C28" s="31">
        <f>'字数统计2 '!A501</f>
        <v>0</v>
      </c>
      <c r="D28" s="27">
        <f>'字数统计2 '!J513</f>
        <v>0</v>
      </c>
      <c r="E28" s="34"/>
      <c r="F28" s="29"/>
      <c r="G28" s="33"/>
    </row>
    <row r="29" ht="17.25" spans="3:7">
      <c r="C29" s="31">
        <f>'字数统计2 '!A521</f>
        <v>0</v>
      </c>
      <c r="D29" s="27">
        <f>'字数统计2 '!J533</f>
        <v>0</v>
      </c>
      <c r="E29" s="34"/>
      <c r="F29" s="29"/>
      <c r="G29" s="33"/>
    </row>
    <row r="30" ht="17.25" spans="3:7">
      <c r="C30" s="31">
        <f>'字数统计2 '!A541</f>
        <v>0</v>
      </c>
      <c r="D30" s="27">
        <f>'字数统计2 '!J553</f>
        <v>0</v>
      </c>
      <c r="E30" s="34"/>
      <c r="F30" s="29"/>
      <c r="G30" s="33"/>
    </row>
    <row r="31" ht="17.25" spans="3:7">
      <c r="C31" s="31">
        <f>'字数统计2 '!A561</f>
        <v>0</v>
      </c>
      <c r="D31" s="27">
        <f>'字数统计2 '!J573</f>
        <v>0</v>
      </c>
      <c r="E31" s="34"/>
      <c r="F31" s="29"/>
      <c r="G31" s="33"/>
    </row>
    <row r="32" ht="17.25" spans="3:7">
      <c r="C32" s="31">
        <f>'字数统计2 '!A581</f>
        <v>0</v>
      </c>
      <c r="D32" s="27">
        <f>'字数统计2 '!J593</f>
        <v>0</v>
      </c>
      <c r="E32" s="34"/>
      <c r="F32" s="29"/>
      <c r="G32" s="33"/>
    </row>
    <row r="33" ht="17.25" spans="3:7">
      <c r="C33" s="31">
        <f>'字数统计2 '!A601</f>
        <v>0</v>
      </c>
      <c r="D33" s="27">
        <f>'字数统计2 '!J613</f>
        <v>0</v>
      </c>
      <c r="E33" s="34"/>
      <c r="F33" s="29"/>
      <c r="G33" s="33"/>
    </row>
    <row r="34" ht="17.25" spans="3:7">
      <c r="C34" s="31">
        <f>'字数统计2 '!A621</f>
        <v>0</v>
      </c>
      <c r="D34" s="27">
        <f>'字数统计2 '!J633</f>
        <v>0</v>
      </c>
      <c r="E34" s="34"/>
      <c r="F34" s="29"/>
      <c r="G34" s="33"/>
    </row>
    <row r="35" ht="17.25" spans="3:7">
      <c r="C35" s="31">
        <f>'字数统计2 '!A641</f>
        <v>0</v>
      </c>
      <c r="D35" s="27">
        <f>'字数统计2 '!J653</f>
        <v>0</v>
      </c>
      <c r="E35" s="34"/>
      <c r="F35" s="29"/>
      <c r="G35" s="33"/>
    </row>
    <row r="36" ht="17.25" spans="3:7">
      <c r="C36" s="31">
        <f>'字数统计2 '!A661</f>
        <v>0</v>
      </c>
      <c r="D36" s="27">
        <f>'字数统计2 '!J673</f>
        <v>0</v>
      </c>
      <c r="E36" s="34"/>
      <c r="F36" s="29"/>
      <c r="G36" s="33"/>
    </row>
    <row r="37" ht="17.25" spans="3:7">
      <c r="C37" s="31">
        <f>'字数统计2 '!A681</f>
        <v>0</v>
      </c>
      <c r="D37" s="27">
        <f>'字数统计2 '!J693</f>
        <v>0</v>
      </c>
      <c r="E37" s="34"/>
      <c r="F37" s="29"/>
      <c r="G37" s="33"/>
    </row>
    <row r="38" ht="17.25" spans="3:7">
      <c r="C38" s="31">
        <f>'字数统计2 '!A701</f>
        <v>0</v>
      </c>
      <c r="D38" s="27">
        <f>'字数统计2 '!J713</f>
        <v>0</v>
      </c>
      <c r="E38" s="34"/>
      <c r="F38" s="29"/>
      <c r="G38" s="33"/>
    </row>
    <row r="39" ht="17.25" spans="3:7">
      <c r="C39" s="31">
        <f>'字数统计2 '!A721</f>
        <v>0</v>
      </c>
      <c r="D39" s="27">
        <f>'字数统计2 '!J733</f>
        <v>0</v>
      </c>
      <c r="E39" s="28"/>
      <c r="F39" s="35"/>
      <c r="G39" s="33"/>
    </row>
    <row r="40" ht="17.25" spans="3:7">
      <c r="C40" s="31">
        <f>'字数统计2 '!A741</f>
        <v>0</v>
      </c>
      <c r="D40" s="27">
        <f>'字数统计2 '!J753</f>
        <v>0</v>
      </c>
      <c r="E40" s="28"/>
      <c r="F40" s="35"/>
      <c r="G40" s="33"/>
    </row>
    <row r="41" ht="17.25" spans="3:7">
      <c r="C41" t="s">
        <v>12</v>
      </c>
      <c r="D41" s="36">
        <f>SUM(D3:D40)</f>
        <v>0</v>
      </c>
    </row>
  </sheetData>
  <conditionalFormatting sqref="G12:G13">
    <cfRule type="timePeriod" dxfId="0" priority="1" timePeriod="lastWeek">
      <formula>AND(TODAY()-ROUNDDOWN(G12,0)&gt;=WEEKDAY(TODAY()),TODAY()-ROUNDDOWN(G12,0)&lt;WEEKDAY(TODAY())+7)</formula>
    </cfRule>
  </conditionalFormatting>
  <dataValidations count="1">
    <dataValidation type="list" allowBlank="1" showErrorMessage="1" sqref="G3:G17 G19:G40">
      <formula1>"已交付,未交付"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33"/>
  <sheetViews>
    <sheetView workbookViewId="0">
      <selection activeCell="A1" sqref="A1"/>
    </sheetView>
  </sheetViews>
  <sheetFormatPr defaultColWidth="9" defaultRowHeight="14.25"/>
  <sheetData>
    <row r="1" spans="1:10">
      <c r="A1">
        <f>重复匹配率!B22</f>
        <v>0</v>
      </c>
    </row>
    <row r="2" ht="24" spans="1:10">
      <c r="A2" s="13">
        <f>重复匹配率!A25</f>
        <v>0</v>
      </c>
      <c r="B2" s="13">
        <f>重复匹配率!B25</f>
        <v>0</v>
      </c>
      <c r="C2" s="13">
        <f>重复匹配率!C25</f>
        <v>0</v>
      </c>
      <c r="D2" s="13">
        <f>重复匹配率!D25</f>
        <v>0</v>
      </c>
      <c r="E2" s="13">
        <f>重复匹配率!E25</f>
        <v>0</v>
      </c>
      <c r="F2" s="13">
        <f>重复匹配率!F25</f>
        <v>0</v>
      </c>
      <c r="G2" s="13">
        <f>重复匹配率!G25</f>
        <v>0</v>
      </c>
      <c r="H2" s="13">
        <f>重复匹配率!H25</f>
        <v>0</v>
      </c>
      <c r="I2" s="14" t="s">
        <v>32</v>
      </c>
      <c r="J2" s="15" t="s">
        <v>33</v>
      </c>
    </row>
    <row r="3" spans="1:10">
      <c r="A3" s="16">
        <f>重复匹配率!A26</f>
        <v>0</v>
      </c>
      <c r="B3" s="16">
        <f>重复匹配率!B26</f>
        <v>0</v>
      </c>
      <c r="C3" s="16">
        <f>重复匹配率!C26</f>
        <v>0</v>
      </c>
      <c r="D3" s="16">
        <f>重复匹配率!D26</f>
        <v>0</v>
      </c>
      <c r="E3" s="16">
        <f>重复匹配率!E26</f>
        <v>0</v>
      </c>
      <c r="F3" s="16">
        <f>重复匹配率!F26</f>
        <v>0</v>
      </c>
      <c r="G3" s="16">
        <f>重复匹配率!G26</f>
        <v>0</v>
      </c>
      <c r="H3" s="16">
        <f>重复匹配率!H26</f>
        <v>0</v>
      </c>
      <c r="I3" s="17">
        <v>0</v>
      </c>
      <c r="J3" s="18">
        <f>E3*I3</f>
        <v>0</v>
      </c>
    </row>
    <row r="4" spans="1:10">
      <c r="A4" s="16">
        <f>重复匹配率!A27</f>
        <v>0</v>
      </c>
      <c r="B4" s="16">
        <f>重复匹配率!B27</f>
        <v>0</v>
      </c>
      <c r="C4" s="16">
        <f>重复匹配率!C27</f>
        <v>0</v>
      </c>
      <c r="D4" s="16">
        <f>重复匹配率!D27</f>
        <v>0</v>
      </c>
      <c r="E4" s="16">
        <f>重复匹配率!E27</f>
        <v>0</v>
      </c>
      <c r="F4" s="16">
        <f>重复匹配率!F27</f>
        <v>0</v>
      </c>
      <c r="G4" s="16">
        <f>重复匹配率!G27</f>
        <v>0</v>
      </c>
      <c r="H4" s="16">
        <f>重复匹配率!H27</f>
        <v>0</v>
      </c>
      <c r="I4" s="17">
        <v>0</v>
      </c>
      <c r="J4" s="18">
        <f t="shared" ref="J4:J12" si="0">E4*I4</f>
        <v>0</v>
      </c>
    </row>
    <row r="5" spans="1:10">
      <c r="A5" s="16">
        <f>重复匹配率!A28</f>
        <v>0</v>
      </c>
      <c r="B5" s="16">
        <f>重复匹配率!B28</f>
        <v>0</v>
      </c>
      <c r="C5" s="16">
        <f>重复匹配率!C28</f>
        <v>0</v>
      </c>
      <c r="D5" s="16">
        <f>重复匹配率!D28</f>
        <v>0</v>
      </c>
      <c r="E5" s="16">
        <f>重复匹配率!E28</f>
        <v>0</v>
      </c>
      <c r="F5" s="16">
        <f>重复匹配率!F28</f>
        <v>0</v>
      </c>
      <c r="G5" s="16">
        <f>重复匹配率!G28</f>
        <v>0</v>
      </c>
      <c r="H5" s="16">
        <f>重复匹配率!H28</f>
        <v>0</v>
      </c>
      <c r="I5" s="17">
        <v>0.1</v>
      </c>
      <c r="J5" s="18">
        <f t="shared" si="0"/>
        <v>0</v>
      </c>
    </row>
    <row r="6" spans="1:10">
      <c r="A6" s="16">
        <f>重复匹配率!A29</f>
        <v>0</v>
      </c>
      <c r="B6" s="16">
        <f>重复匹配率!B29</f>
        <v>0</v>
      </c>
      <c r="C6" s="16">
        <f>重复匹配率!C29</f>
        <v>0</v>
      </c>
      <c r="D6" s="16">
        <f>重复匹配率!D29</f>
        <v>0</v>
      </c>
      <c r="E6" s="16">
        <f>重复匹配率!E29</f>
        <v>0</v>
      </c>
      <c r="F6" s="16">
        <f>重复匹配率!F29</f>
        <v>0</v>
      </c>
      <c r="G6" s="16">
        <f>重复匹配率!G29</f>
        <v>0</v>
      </c>
      <c r="H6" s="16">
        <f>重复匹配率!H29</f>
        <v>0</v>
      </c>
      <c r="I6" s="17">
        <v>0</v>
      </c>
      <c r="J6" s="18">
        <f t="shared" si="0"/>
        <v>0</v>
      </c>
    </row>
    <row r="7" spans="1:10">
      <c r="A7" s="16">
        <f>重复匹配率!A30</f>
        <v>0</v>
      </c>
      <c r="B7" s="16">
        <f>重复匹配率!B30</f>
        <v>0</v>
      </c>
      <c r="C7" s="16">
        <f>重复匹配率!C30</f>
        <v>0</v>
      </c>
      <c r="D7" s="16">
        <f>重复匹配率!D30</f>
        <v>0</v>
      </c>
      <c r="E7" s="16">
        <f>重复匹配率!E30</f>
        <v>0</v>
      </c>
      <c r="F7" s="16">
        <f>重复匹配率!F30</f>
        <v>0</v>
      </c>
      <c r="G7" s="16">
        <f>重复匹配率!G30</f>
        <v>0</v>
      </c>
      <c r="H7" s="16">
        <f>重复匹配率!H30</f>
        <v>0</v>
      </c>
      <c r="I7" s="17">
        <v>0.2</v>
      </c>
      <c r="J7" s="18">
        <f t="shared" si="0"/>
        <v>0</v>
      </c>
    </row>
    <row r="8" spans="1:10">
      <c r="A8" s="16">
        <f>重复匹配率!A31</f>
        <v>0</v>
      </c>
      <c r="B8" s="16">
        <f>重复匹配率!B31</f>
        <v>0</v>
      </c>
      <c r="C8" s="16">
        <f>重复匹配率!C31</f>
        <v>0</v>
      </c>
      <c r="D8" s="16">
        <f>重复匹配率!D31</f>
        <v>0</v>
      </c>
      <c r="E8" s="16">
        <f>重复匹配率!E31</f>
        <v>0</v>
      </c>
      <c r="F8" s="16">
        <f>重复匹配率!F31</f>
        <v>0</v>
      </c>
      <c r="G8" s="16">
        <f>重复匹配率!G31</f>
        <v>0</v>
      </c>
      <c r="H8" s="16">
        <f>重复匹配率!H31</f>
        <v>0</v>
      </c>
      <c r="I8" s="17">
        <v>0.3</v>
      </c>
      <c r="J8" s="18">
        <f t="shared" si="0"/>
        <v>0</v>
      </c>
    </row>
    <row r="9" spans="1:10">
      <c r="A9" s="16">
        <f>重复匹配率!A32</f>
        <v>0</v>
      </c>
      <c r="B9" s="16">
        <f>重复匹配率!B32</f>
        <v>0</v>
      </c>
      <c r="C9" s="16">
        <f>重复匹配率!C32</f>
        <v>0</v>
      </c>
      <c r="D9" s="16">
        <f>重复匹配率!D32</f>
        <v>0</v>
      </c>
      <c r="E9" s="16">
        <f>重复匹配率!E32</f>
        <v>0</v>
      </c>
      <c r="F9" s="16">
        <f>重复匹配率!F32</f>
        <v>0</v>
      </c>
      <c r="G9" s="16">
        <f>重复匹配率!G32</f>
        <v>0</v>
      </c>
      <c r="H9" s="16">
        <f>重复匹配率!H32</f>
        <v>0</v>
      </c>
      <c r="I9" s="17">
        <v>0.5</v>
      </c>
      <c r="J9" s="18">
        <f t="shared" si="0"/>
        <v>0</v>
      </c>
    </row>
    <row r="10" spans="1:10">
      <c r="A10" s="16">
        <f>重复匹配率!A33</f>
        <v>0</v>
      </c>
      <c r="B10" s="16">
        <f>重复匹配率!B33</f>
        <v>0</v>
      </c>
      <c r="C10" s="16">
        <f>重复匹配率!C33</f>
        <v>0</v>
      </c>
      <c r="D10" s="16">
        <f>重复匹配率!D33</f>
        <v>0</v>
      </c>
      <c r="E10" s="16">
        <f>重复匹配率!E33</f>
        <v>0</v>
      </c>
      <c r="F10" s="16">
        <f>重复匹配率!F33</f>
        <v>0</v>
      </c>
      <c r="G10" s="16">
        <f>重复匹配率!G33</f>
        <v>0</v>
      </c>
      <c r="H10" s="16">
        <f>重复匹配率!H33</f>
        <v>0</v>
      </c>
      <c r="I10" s="17">
        <v>0.6</v>
      </c>
      <c r="J10" s="18">
        <f t="shared" si="0"/>
        <v>0</v>
      </c>
    </row>
    <row r="11" spans="1:10">
      <c r="A11" s="16">
        <f>重复匹配率!A34</f>
        <v>0</v>
      </c>
      <c r="B11" s="16">
        <f>重复匹配率!B34</f>
        <v>0</v>
      </c>
      <c r="C11" s="16">
        <f>重复匹配率!C34</f>
        <v>0</v>
      </c>
      <c r="D11" s="16">
        <f>重复匹配率!D34</f>
        <v>0</v>
      </c>
      <c r="E11" s="16">
        <f>重复匹配率!E34</f>
        <v>0</v>
      </c>
      <c r="F11" s="16">
        <f>重复匹配率!F34</f>
        <v>0</v>
      </c>
      <c r="G11" s="16">
        <f>重复匹配率!G34</f>
        <v>0</v>
      </c>
      <c r="H11" s="16">
        <f>重复匹配率!H34</f>
        <v>0</v>
      </c>
      <c r="I11" s="17">
        <v>1</v>
      </c>
      <c r="J11" s="18">
        <f t="shared" si="0"/>
        <v>0</v>
      </c>
    </row>
    <row r="12" spans="1:10">
      <c r="A12" s="16">
        <f>重复匹配率!A35</f>
        <v>0</v>
      </c>
      <c r="B12" s="16">
        <f>重复匹配率!B35</f>
        <v>0</v>
      </c>
      <c r="C12" s="16">
        <f>重复匹配率!C35</f>
        <v>0</v>
      </c>
      <c r="D12" s="16">
        <f>重复匹配率!D35</f>
        <v>0</v>
      </c>
      <c r="E12" s="16">
        <f>重复匹配率!E35</f>
        <v>0</v>
      </c>
      <c r="F12" s="16">
        <f>重复匹配率!F35</f>
        <v>0</v>
      </c>
      <c r="G12" s="16">
        <f>重复匹配率!G35</f>
        <v>0</v>
      </c>
      <c r="H12" s="16">
        <f>重复匹配率!H35</f>
        <v>0</v>
      </c>
      <c r="I12" s="17">
        <v>1</v>
      </c>
      <c r="J12" s="18">
        <f t="shared" si="0"/>
        <v>0</v>
      </c>
    </row>
    <row r="13" spans="1:10">
      <c r="A13" s="19" t="s">
        <v>34</v>
      </c>
      <c r="B13" s="20"/>
      <c r="C13" s="20"/>
      <c r="D13" s="20"/>
      <c r="E13" s="20"/>
      <c r="F13" s="20"/>
      <c r="G13" s="20"/>
      <c r="H13" s="20"/>
      <c r="I13" s="20"/>
      <c r="J13" s="18">
        <f>SUM(J3:J12)</f>
        <v>0</v>
      </c>
    </row>
    <row r="21" spans="1:10">
      <c r="A21">
        <f>重复匹配率!B42</f>
        <v>0</v>
      </c>
    </row>
    <row r="22" ht="24" spans="1:10">
      <c r="A22" s="13">
        <f>重复匹配率!A45</f>
        <v>0</v>
      </c>
      <c r="B22" s="13">
        <f>重复匹配率!B45</f>
        <v>0</v>
      </c>
      <c r="C22" s="13">
        <f>重复匹配率!C45</f>
        <v>0</v>
      </c>
      <c r="D22" s="13">
        <f>重复匹配率!D45</f>
        <v>0</v>
      </c>
      <c r="E22" s="13">
        <f>重复匹配率!E45</f>
        <v>0</v>
      </c>
      <c r="F22" s="13">
        <f>重复匹配率!F45</f>
        <v>0</v>
      </c>
      <c r="G22" s="13">
        <f>重复匹配率!G45</f>
        <v>0</v>
      </c>
      <c r="H22" s="13">
        <f>重复匹配率!H45</f>
        <v>0</v>
      </c>
      <c r="I22" s="14" t="s">
        <v>32</v>
      </c>
      <c r="J22" s="15" t="s">
        <v>33</v>
      </c>
    </row>
    <row r="23" spans="1:10">
      <c r="A23" s="16">
        <f>重复匹配率!A46</f>
        <v>0</v>
      </c>
      <c r="B23" s="16">
        <f>重复匹配率!B46</f>
        <v>0</v>
      </c>
      <c r="C23" s="16">
        <f>重复匹配率!C46</f>
        <v>0</v>
      </c>
      <c r="D23" s="16">
        <f>重复匹配率!D46</f>
        <v>0</v>
      </c>
      <c r="E23" s="16">
        <f>重复匹配率!E46</f>
        <v>0</v>
      </c>
      <c r="F23" s="16">
        <f>重复匹配率!F46</f>
        <v>0</v>
      </c>
      <c r="G23" s="16">
        <f>重复匹配率!G46</f>
        <v>0</v>
      </c>
      <c r="H23" s="16">
        <f>重复匹配率!H46</f>
        <v>0</v>
      </c>
      <c r="I23" s="17">
        <v>0</v>
      </c>
      <c r="J23" s="18">
        <f t="shared" ref="J23:J32" si="1">E23*I23</f>
        <v>0</v>
      </c>
    </row>
    <row r="24" spans="1:10">
      <c r="A24" s="16">
        <f>重复匹配率!A47</f>
        <v>0</v>
      </c>
      <c r="B24" s="16">
        <f>重复匹配率!B47</f>
        <v>0</v>
      </c>
      <c r="C24" s="16">
        <f>重复匹配率!C47</f>
        <v>0</v>
      </c>
      <c r="D24" s="16">
        <f>重复匹配率!D47</f>
        <v>0</v>
      </c>
      <c r="E24" s="16">
        <f>重复匹配率!E47</f>
        <v>0</v>
      </c>
      <c r="F24" s="16">
        <f>重复匹配率!F47</f>
        <v>0</v>
      </c>
      <c r="G24" s="16">
        <f>重复匹配率!G47</f>
        <v>0</v>
      </c>
      <c r="H24" s="16">
        <f>重复匹配率!H47</f>
        <v>0</v>
      </c>
      <c r="I24" s="17">
        <v>0</v>
      </c>
      <c r="J24" s="18">
        <f t="shared" si="1"/>
        <v>0</v>
      </c>
    </row>
    <row r="25" spans="1:10">
      <c r="A25" s="16">
        <f>重复匹配率!A48</f>
        <v>0</v>
      </c>
      <c r="B25" s="16">
        <f>重复匹配率!B48</f>
        <v>0</v>
      </c>
      <c r="C25" s="16">
        <f>重复匹配率!C48</f>
        <v>0</v>
      </c>
      <c r="D25" s="16">
        <f>重复匹配率!D48</f>
        <v>0</v>
      </c>
      <c r="E25" s="16">
        <f>重复匹配率!E48</f>
        <v>0</v>
      </c>
      <c r="F25" s="16">
        <f>重复匹配率!F48</f>
        <v>0</v>
      </c>
      <c r="G25" s="16">
        <f>重复匹配率!G48</f>
        <v>0</v>
      </c>
      <c r="H25" s="16">
        <f>重复匹配率!H48</f>
        <v>0</v>
      </c>
      <c r="I25" s="17">
        <v>0.1</v>
      </c>
      <c r="J25" s="18">
        <f t="shared" si="1"/>
        <v>0</v>
      </c>
    </row>
    <row r="26" spans="1:10">
      <c r="A26" s="16">
        <f>重复匹配率!A49</f>
        <v>0</v>
      </c>
      <c r="B26" s="16">
        <f>重复匹配率!B49</f>
        <v>0</v>
      </c>
      <c r="C26" s="16">
        <f>重复匹配率!C49</f>
        <v>0</v>
      </c>
      <c r="D26" s="16">
        <f>重复匹配率!D49</f>
        <v>0</v>
      </c>
      <c r="E26" s="16">
        <f>重复匹配率!E49</f>
        <v>0</v>
      </c>
      <c r="F26" s="16">
        <f>重复匹配率!F49</f>
        <v>0</v>
      </c>
      <c r="G26" s="16">
        <f>重复匹配率!G49</f>
        <v>0</v>
      </c>
      <c r="H26" s="16">
        <f>重复匹配率!H49</f>
        <v>0</v>
      </c>
      <c r="I26" s="17">
        <v>0</v>
      </c>
      <c r="J26" s="18">
        <f t="shared" si="1"/>
        <v>0</v>
      </c>
    </row>
    <row r="27" spans="1:10">
      <c r="A27" s="16">
        <f>重复匹配率!A50</f>
        <v>0</v>
      </c>
      <c r="B27" s="16">
        <f>重复匹配率!B50</f>
        <v>0</v>
      </c>
      <c r="C27" s="16">
        <f>重复匹配率!C50</f>
        <v>0</v>
      </c>
      <c r="D27" s="16">
        <f>重复匹配率!D50</f>
        <v>0</v>
      </c>
      <c r="E27" s="16">
        <f>重复匹配率!E50</f>
        <v>0</v>
      </c>
      <c r="F27" s="16">
        <f>重复匹配率!F50</f>
        <v>0</v>
      </c>
      <c r="G27" s="16">
        <f>重复匹配率!G50</f>
        <v>0</v>
      </c>
      <c r="H27" s="16">
        <f>重复匹配率!H50</f>
        <v>0</v>
      </c>
      <c r="I27" s="17">
        <v>0.2</v>
      </c>
      <c r="J27" s="18">
        <f t="shared" si="1"/>
        <v>0</v>
      </c>
    </row>
    <row r="28" spans="1:10">
      <c r="A28" s="16">
        <f>重复匹配率!A51</f>
        <v>0</v>
      </c>
      <c r="B28" s="16">
        <f>重复匹配率!B51</f>
        <v>0</v>
      </c>
      <c r="C28" s="16">
        <f>重复匹配率!C51</f>
        <v>0</v>
      </c>
      <c r="D28" s="16">
        <f>重复匹配率!D51</f>
        <v>0</v>
      </c>
      <c r="E28" s="16">
        <f>重复匹配率!E51</f>
        <v>0</v>
      </c>
      <c r="F28" s="16">
        <f>重复匹配率!F51</f>
        <v>0</v>
      </c>
      <c r="G28" s="16">
        <f>重复匹配率!G51</f>
        <v>0</v>
      </c>
      <c r="H28" s="16">
        <f>重复匹配率!H51</f>
        <v>0</v>
      </c>
      <c r="I28" s="17">
        <v>0.3</v>
      </c>
      <c r="J28" s="18">
        <f t="shared" si="1"/>
        <v>0</v>
      </c>
    </row>
    <row r="29" spans="1:10">
      <c r="A29" s="16">
        <f>重复匹配率!A52</f>
        <v>0</v>
      </c>
      <c r="B29" s="16">
        <f>重复匹配率!B52</f>
        <v>0</v>
      </c>
      <c r="C29" s="16">
        <f>重复匹配率!C52</f>
        <v>0</v>
      </c>
      <c r="D29" s="16">
        <f>重复匹配率!D52</f>
        <v>0</v>
      </c>
      <c r="E29" s="16">
        <f>重复匹配率!E52</f>
        <v>0</v>
      </c>
      <c r="F29" s="16">
        <f>重复匹配率!F52</f>
        <v>0</v>
      </c>
      <c r="G29" s="16">
        <f>重复匹配率!G52</f>
        <v>0</v>
      </c>
      <c r="H29" s="16">
        <f>重复匹配率!H52</f>
        <v>0</v>
      </c>
      <c r="I29" s="17">
        <v>0.5</v>
      </c>
      <c r="J29" s="18">
        <f t="shared" si="1"/>
        <v>0</v>
      </c>
    </row>
    <row r="30" spans="1:10">
      <c r="A30" s="16">
        <f>重复匹配率!A53</f>
        <v>0</v>
      </c>
      <c r="B30" s="16">
        <f>重复匹配率!B53</f>
        <v>0</v>
      </c>
      <c r="C30" s="16">
        <f>重复匹配率!C53</f>
        <v>0</v>
      </c>
      <c r="D30" s="16">
        <f>重复匹配率!D53</f>
        <v>0</v>
      </c>
      <c r="E30" s="16">
        <f>重复匹配率!E53</f>
        <v>0</v>
      </c>
      <c r="F30" s="16">
        <f>重复匹配率!F53</f>
        <v>0</v>
      </c>
      <c r="G30" s="16">
        <f>重复匹配率!G53</f>
        <v>0</v>
      </c>
      <c r="H30" s="16">
        <f>重复匹配率!H53</f>
        <v>0</v>
      </c>
      <c r="I30" s="17">
        <v>0.6</v>
      </c>
      <c r="J30" s="18">
        <f t="shared" si="1"/>
        <v>0</v>
      </c>
    </row>
    <row r="31" spans="1:10">
      <c r="A31" s="16">
        <f>重复匹配率!A54</f>
        <v>0</v>
      </c>
      <c r="B31" s="16">
        <f>重复匹配率!B54</f>
        <v>0</v>
      </c>
      <c r="C31" s="16">
        <f>重复匹配率!C54</f>
        <v>0</v>
      </c>
      <c r="D31" s="16">
        <f>重复匹配率!D54</f>
        <v>0</v>
      </c>
      <c r="E31" s="16">
        <f>重复匹配率!E54</f>
        <v>0</v>
      </c>
      <c r="F31" s="16">
        <f>重复匹配率!F54</f>
        <v>0</v>
      </c>
      <c r="G31" s="16">
        <f>重复匹配率!G54</f>
        <v>0</v>
      </c>
      <c r="H31" s="16">
        <f>重复匹配率!H54</f>
        <v>0</v>
      </c>
      <c r="I31" s="17">
        <v>1</v>
      </c>
      <c r="J31" s="18">
        <f t="shared" si="1"/>
        <v>0</v>
      </c>
    </row>
    <row r="32" spans="1:10">
      <c r="A32" s="16">
        <f>重复匹配率!A55</f>
        <v>0</v>
      </c>
      <c r="B32" s="16">
        <f>重复匹配率!B55</f>
        <v>0</v>
      </c>
      <c r="C32" s="16">
        <f>重复匹配率!C55</f>
        <v>0</v>
      </c>
      <c r="D32" s="16">
        <f>重复匹配率!D55</f>
        <v>0</v>
      </c>
      <c r="E32" s="16">
        <f>重复匹配率!E55</f>
        <v>0</v>
      </c>
      <c r="F32" s="16">
        <f>重复匹配率!F55</f>
        <v>0</v>
      </c>
      <c r="G32" s="16">
        <f>重复匹配率!G55</f>
        <v>0</v>
      </c>
      <c r="H32" s="16">
        <f>重复匹配率!H55</f>
        <v>0</v>
      </c>
      <c r="I32" s="17">
        <v>1</v>
      </c>
      <c r="J32" s="18">
        <f t="shared" si="1"/>
        <v>0</v>
      </c>
    </row>
    <row r="33" spans="1:10">
      <c r="A33" s="19" t="s">
        <v>34</v>
      </c>
      <c r="B33" s="20"/>
      <c r="C33" s="20"/>
      <c r="D33" s="20"/>
      <c r="E33" s="20"/>
      <c r="F33" s="20"/>
      <c r="G33" s="20"/>
      <c r="H33" s="20"/>
      <c r="I33" s="20"/>
      <c r="J33" s="18">
        <f>SUM(J23:J32)</f>
        <v>0</v>
      </c>
    </row>
    <row r="41" spans="1:10">
      <c r="A41">
        <f>重复匹配率!B62</f>
        <v>0</v>
      </c>
    </row>
    <row r="42" ht="24" spans="1:10">
      <c r="A42" s="13">
        <f>重复匹配率!A65</f>
        <v>0</v>
      </c>
      <c r="B42" s="13">
        <f>重复匹配率!B65</f>
        <v>0</v>
      </c>
      <c r="C42" s="13">
        <f>重复匹配率!C65</f>
        <v>0</v>
      </c>
      <c r="D42" s="13">
        <f>重复匹配率!D65</f>
        <v>0</v>
      </c>
      <c r="E42" s="13">
        <f>重复匹配率!E65</f>
        <v>0</v>
      </c>
      <c r="F42" s="13">
        <f>重复匹配率!F65</f>
        <v>0</v>
      </c>
      <c r="G42" s="13">
        <f>重复匹配率!G65</f>
        <v>0</v>
      </c>
      <c r="H42" s="13">
        <f>重复匹配率!H65</f>
        <v>0</v>
      </c>
      <c r="I42" s="14" t="s">
        <v>32</v>
      </c>
      <c r="J42" s="15" t="s">
        <v>33</v>
      </c>
    </row>
    <row r="43" spans="1:10">
      <c r="A43" s="16">
        <f>重复匹配率!A66</f>
        <v>0</v>
      </c>
      <c r="B43" s="16">
        <f>重复匹配率!B66</f>
        <v>0</v>
      </c>
      <c r="C43" s="16">
        <f>重复匹配率!C66</f>
        <v>0</v>
      </c>
      <c r="D43" s="16">
        <f>重复匹配率!D66</f>
        <v>0</v>
      </c>
      <c r="E43" s="16">
        <f>重复匹配率!E66</f>
        <v>0</v>
      </c>
      <c r="F43" s="16">
        <f>重复匹配率!F66</f>
        <v>0</v>
      </c>
      <c r="G43" s="16">
        <f>重复匹配率!G66</f>
        <v>0</v>
      </c>
      <c r="H43" s="16">
        <f>重复匹配率!H66</f>
        <v>0</v>
      </c>
      <c r="I43" s="17">
        <v>0</v>
      </c>
      <c r="J43" s="18">
        <f t="shared" ref="J43:J52" si="2">E43*I43</f>
        <v>0</v>
      </c>
    </row>
    <row r="44" spans="1:10">
      <c r="A44" s="16">
        <f>重复匹配率!A67</f>
        <v>0</v>
      </c>
      <c r="B44" s="16">
        <f>重复匹配率!B67</f>
        <v>0</v>
      </c>
      <c r="C44" s="16">
        <f>重复匹配率!C67</f>
        <v>0</v>
      </c>
      <c r="D44" s="16">
        <f>重复匹配率!D67</f>
        <v>0</v>
      </c>
      <c r="E44" s="16">
        <f>重复匹配率!E67</f>
        <v>0</v>
      </c>
      <c r="F44" s="16">
        <f>重复匹配率!F67</f>
        <v>0</v>
      </c>
      <c r="G44" s="16">
        <f>重复匹配率!G67</f>
        <v>0</v>
      </c>
      <c r="H44" s="16">
        <f>重复匹配率!H67</f>
        <v>0</v>
      </c>
      <c r="I44" s="17">
        <v>0</v>
      </c>
      <c r="J44" s="18">
        <f t="shared" si="2"/>
        <v>0</v>
      </c>
    </row>
    <row r="45" spans="1:10">
      <c r="A45" s="16">
        <f>重复匹配率!A68</f>
        <v>0</v>
      </c>
      <c r="B45" s="16">
        <f>重复匹配率!B68</f>
        <v>0</v>
      </c>
      <c r="C45" s="16">
        <f>重复匹配率!C68</f>
        <v>0</v>
      </c>
      <c r="D45" s="16">
        <f>重复匹配率!D68</f>
        <v>0</v>
      </c>
      <c r="E45" s="16">
        <f>重复匹配率!E68</f>
        <v>0</v>
      </c>
      <c r="F45" s="16">
        <f>重复匹配率!F68</f>
        <v>0</v>
      </c>
      <c r="G45" s="16">
        <f>重复匹配率!G68</f>
        <v>0</v>
      </c>
      <c r="H45" s="16">
        <f>重复匹配率!H68</f>
        <v>0</v>
      </c>
      <c r="I45" s="17">
        <v>0.1</v>
      </c>
      <c r="J45" s="18">
        <f t="shared" si="2"/>
        <v>0</v>
      </c>
    </row>
    <row r="46" spans="1:10">
      <c r="A46" s="16">
        <f>重复匹配率!A69</f>
        <v>0</v>
      </c>
      <c r="B46" s="16">
        <f>重复匹配率!B69</f>
        <v>0</v>
      </c>
      <c r="C46" s="16">
        <f>重复匹配率!C69</f>
        <v>0</v>
      </c>
      <c r="D46" s="16">
        <f>重复匹配率!D69</f>
        <v>0</v>
      </c>
      <c r="E46" s="16">
        <f>重复匹配率!E69</f>
        <v>0</v>
      </c>
      <c r="F46" s="16">
        <f>重复匹配率!F69</f>
        <v>0</v>
      </c>
      <c r="G46" s="16">
        <f>重复匹配率!G69</f>
        <v>0</v>
      </c>
      <c r="H46" s="16">
        <f>重复匹配率!H69</f>
        <v>0</v>
      </c>
      <c r="I46" s="17">
        <v>0</v>
      </c>
      <c r="J46" s="18">
        <f t="shared" si="2"/>
        <v>0</v>
      </c>
    </row>
    <row r="47" spans="1:10">
      <c r="A47" s="16">
        <f>重复匹配率!A70</f>
        <v>0</v>
      </c>
      <c r="B47" s="16">
        <f>重复匹配率!B70</f>
        <v>0</v>
      </c>
      <c r="C47" s="16">
        <f>重复匹配率!C70</f>
        <v>0</v>
      </c>
      <c r="D47" s="16">
        <f>重复匹配率!D70</f>
        <v>0</v>
      </c>
      <c r="E47" s="16">
        <f>重复匹配率!E70</f>
        <v>0</v>
      </c>
      <c r="F47" s="16">
        <f>重复匹配率!F70</f>
        <v>0</v>
      </c>
      <c r="G47" s="16">
        <f>重复匹配率!G70</f>
        <v>0</v>
      </c>
      <c r="H47" s="16">
        <f>重复匹配率!H70</f>
        <v>0</v>
      </c>
      <c r="I47" s="17">
        <v>0.2</v>
      </c>
      <c r="J47" s="18">
        <f t="shared" si="2"/>
        <v>0</v>
      </c>
    </row>
    <row r="48" spans="1:10">
      <c r="A48" s="16">
        <f>重复匹配率!A71</f>
        <v>0</v>
      </c>
      <c r="B48" s="16">
        <f>重复匹配率!B71</f>
        <v>0</v>
      </c>
      <c r="C48" s="16">
        <f>重复匹配率!C71</f>
        <v>0</v>
      </c>
      <c r="D48" s="16">
        <f>重复匹配率!D71</f>
        <v>0</v>
      </c>
      <c r="E48" s="16">
        <f>重复匹配率!E71</f>
        <v>0</v>
      </c>
      <c r="F48" s="16">
        <f>重复匹配率!F71</f>
        <v>0</v>
      </c>
      <c r="G48" s="16">
        <f>重复匹配率!G71</f>
        <v>0</v>
      </c>
      <c r="H48" s="16">
        <f>重复匹配率!H71</f>
        <v>0</v>
      </c>
      <c r="I48" s="17">
        <v>0.3</v>
      </c>
      <c r="J48" s="18">
        <f t="shared" si="2"/>
        <v>0</v>
      </c>
    </row>
    <row r="49" spans="1:10">
      <c r="A49" s="16">
        <f>重复匹配率!A72</f>
        <v>0</v>
      </c>
      <c r="B49" s="16">
        <f>重复匹配率!B72</f>
        <v>0</v>
      </c>
      <c r="C49" s="16">
        <f>重复匹配率!C72</f>
        <v>0</v>
      </c>
      <c r="D49" s="16">
        <f>重复匹配率!D72</f>
        <v>0</v>
      </c>
      <c r="E49" s="16">
        <f>重复匹配率!E72</f>
        <v>0</v>
      </c>
      <c r="F49" s="16">
        <f>重复匹配率!F72</f>
        <v>0</v>
      </c>
      <c r="G49" s="16">
        <f>重复匹配率!G72</f>
        <v>0</v>
      </c>
      <c r="H49" s="16">
        <f>重复匹配率!H72</f>
        <v>0</v>
      </c>
      <c r="I49" s="17">
        <v>0.5</v>
      </c>
      <c r="J49" s="18">
        <f t="shared" si="2"/>
        <v>0</v>
      </c>
    </row>
    <row r="50" spans="1:10">
      <c r="A50" s="16">
        <f>重复匹配率!A73</f>
        <v>0</v>
      </c>
      <c r="B50" s="16">
        <f>重复匹配率!B73</f>
        <v>0</v>
      </c>
      <c r="C50" s="16">
        <f>重复匹配率!C73</f>
        <v>0</v>
      </c>
      <c r="D50" s="16">
        <f>重复匹配率!D73</f>
        <v>0</v>
      </c>
      <c r="E50" s="16">
        <f>重复匹配率!E73</f>
        <v>0</v>
      </c>
      <c r="F50" s="16">
        <f>重复匹配率!F73</f>
        <v>0</v>
      </c>
      <c r="G50" s="16">
        <f>重复匹配率!G73</f>
        <v>0</v>
      </c>
      <c r="H50" s="16">
        <f>重复匹配率!H73</f>
        <v>0</v>
      </c>
      <c r="I50" s="17">
        <v>0.6</v>
      </c>
      <c r="J50" s="18">
        <f t="shared" si="2"/>
        <v>0</v>
      </c>
    </row>
    <row r="51" spans="1:10">
      <c r="A51" s="16">
        <f>重复匹配率!A74</f>
        <v>0</v>
      </c>
      <c r="B51" s="16">
        <f>重复匹配率!B74</f>
        <v>0</v>
      </c>
      <c r="C51" s="16">
        <f>重复匹配率!C74</f>
        <v>0</v>
      </c>
      <c r="D51" s="16">
        <f>重复匹配率!D74</f>
        <v>0</v>
      </c>
      <c r="E51" s="16">
        <f>重复匹配率!E74</f>
        <v>0</v>
      </c>
      <c r="F51" s="16">
        <f>重复匹配率!F74</f>
        <v>0</v>
      </c>
      <c r="G51" s="16">
        <f>重复匹配率!G74</f>
        <v>0</v>
      </c>
      <c r="H51" s="16">
        <f>重复匹配率!H74</f>
        <v>0</v>
      </c>
      <c r="I51" s="17">
        <v>1</v>
      </c>
      <c r="J51" s="18">
        <f t="shared" si="2"/>
        <v>0</v>
      </c>
    </row>
    <row r="52" spans="1:10">
      <c r="A52" s="16">
        <f>重复匹配率!A75</f>
        <v>0</v>
      </c>
      <c r="B52" s="16">
        <f>重复匹配率!B75</f>
        <v>0</v>
      </c>
      <c r="C52" s="16">
        <f>重复匹配率!C75</f>
        <v>0</v>
      </c>
      <c r="D52" s="16">
        <f>重复匹配率!D75</f>
        <v>0</v>
      </c>
      <c r="E52" s="16">
        <f>重复匹配率!E75</f>
        <v>0</v>
      </c>
      <c r="F52" s="16">
        <f>重复匹配率!F75</f>
        <v>0</v>
      </c>
      <c r="G52" s="16">
        <f>重复匹配率!G75</f>
        <v>0</v>
      </c>
      <c r="H52" s="16">
        <f>重复匹配率!H75</f>
        <v>0</v>
      </c>
      <c r="I52" s="17">
        <v>1</v>
      </c>
      <c r="J52" s="18">
        <f t="shared" si="2"/>
        <v>0</v>
      </c>
    </row>
    <row r="53" spans="1:10">
      <c r="A53" s="19" t="s">
        <v>34</v>
      </c>
      <c r="B53" s="20"/>
      <c r="C53" s="20"/>
      <c r="D53" s="20"/>
      <c r="E53" s="20"/>
      <c r="F53" s="20"/>
      <c r="G53" s="20"/>
      <c r="H53" s="20"/>
      <c r="I53" s="20"/>
      <c r="J53" s="18">
        <f>SUM(J43:J52)</f>
        <v>0</v>
      </c>
    </row>
    <row r="61" spans="1:10">
      <c r="A61">
        <f>重复匹配率!B82</f>
        <v>0</v>
      </c>
    </row>
    <row r="62" ht="24" spans="1:10">
      <c r="A62" s="13">
        <f>重复匹配率!A85</f>
        <v>0</v>
      </c>
      <c r="B62" s="13">
        <f>重复匹配率!B85</f>
        <v>0</v>
      </c>
      <c r="C62" s="13">
        <f>重复匹配率!C85</f>
        <v>0</v>
      </c>
      <c r="D62" s="13">
        <f>重复匹配率!D85</f>
        <v>0</v>
      </c>
      <c r="E62" s="13">
        <f>重复匹配率!E85</f>
        <v>0</v>
      </c>
      <c r="F62" s="13">
        <f>重复匹配率!F85</f>
        <v>0</v>
      </c>
      <c r="G62" s="13">
        <f>重复匹配率!G85</f>
        <v>0</v>
      </c>
      <c r="H62" s="13">
        <f>重复匹配率!H85</f>
        <v>0</v>
      </c>
      <c r="I62" s="14" t="s">
        <v>32</v>
      </c>
      <c r="J62" s="15" t="s">
        <v>33</v>
      </c>
    </row>
    <row r="63" spans="1:10">
      <c r="A63" s="16">
        <f>重复匹配率!A86</f>
        <v>0</v>
      </c>
      <c r="B63" s="16">
        <f>重复匹配率!B86</f>
        <v>0</v>
      </c>
      <c r="C63" s="16">
        <f>重复匹配率!C86</f>
        <v>0</v>
      </c>
      <c r="D63" s="16">
        <f>重复匹配率!D86</f>
        <v>0</v>
      </c>
      <c r="E63" s="16">
        <f>重复匹配率!E86</f>
        <v>0</v>
      </c>
      <c r="F63" s="16">
        <f>重复匹配率!F86</f>
        <v>0</v>
      </c>
      <c r="G63" s="16">
        <f>重复匹配率!G86</f>
        <v>0</v>
      </c>
      <c r="H63" s="16">
        <f>重复匹配率!H86</f>
        <v>0</v>
      </c>
      <c r="I63" s="17">
        <v>0</v>
      </c>
      <c r="J63" s="18">
        <f t="shared" ref="J63:J72" si="3">E63*I63</f>
        <v>0</v>
      </c>
    </row>
    <row r="64" spans="1:10">
      <c r="A64" s="16">
        <f>重复匹配率!A87</f>
        <v>0</v>
      </c>
      <c r="B64" s="16">
        <f>重复匹配率!B87</f>
        <v>0</v>
      </c>
      <c r="C64" s="16">
        <f>重复匹配率!C87</f>
        <v>0</v>
      </c>
      <c r="D64" s="16">
        <f>重复匹配率!D87</f>
        <v>0</v>
      </c>
      <c r="E64" s="16">
        <f>重复匹配率!E87</f>
        <v>0</v>
      </c>
      <c r="F64" s="16">
        <f>重复匹配率!F87</f>
        <v>0</v>
      </c>
      <c r="G64" s="16">
        <f>重复匹配率!G87</f>
        <v>0</v>
      </c>
      <c r="H64" s="16">
        <f>重复匹配率!H87</f>
        <v>0</v>
      </c>
      <c r="I64" s="17">
        <v>0</v>
      </c>
      <c r="J64" s="18">
        <f t="shared" si="3"/>
        <v>0</v>
      </c>
    </row>
    <row r="65" spans="1:10">
      <c r="A65" s="16">
        <f>重复匹配率!A88</f>
        <v>0</v>
      </c>
      <c r="B65" s="16">
        <f>重复匹配率!B88</f>
        <v>0</v>
      </c>
      <c r="C65" s="16">
        <f>重复匹配率!C88</f>
        <v>0</v>
      </c>
      <c r="D65" s="16">
        <f>重复匹配率!D88</f>
        <v>0</v>
      </c>
      <c r="E65" s="16">
        <f>重复匹配率!E88</f>
        <v>0</v>
      </c>
      <c r="F65" s="16">
        <f>重复匹配率!F88</f>
        <v>0</v>
      </c>
      <c r="G65" s="16">
        <f>重复匹配率!G88</f>
        <v>0</v>
      </c>
      <c r="H65" s="16">
        <f>重复匹配率!H88</f>
        <v>0</v>
      </c>
      <c r="I65" s="17">
        <v>0.1</v>
      </c>
      <c r="J65" s="18">
        <f t="shared" si="3"/>
        <v>0</v>
      </c>
    </row>
    <row r="66" spans="1:10">
      <c r="A66" s="16">
        <f>重复匹配率!A89</f>
        <v>0</v>
      </c>
      <c r="B66" s="16">
        <f>重复匹配率!B89</f>
        <v>0</v>
      </c>
      <c r="C66" s="16">
        <f>重复匹配率!C89</f>
        <v>0</v>
      </c>
      <c r="D66" s="16">
        <f>重复匹配率!D89</f>
        <v>0</v>
      </c>
      <c r="E66" s="16">
        <f>重复匹配率!E89</f>
        <v>0</v>
      </c>
      <c r="F66" s="16">
        <f>重复匹配率!F89</f>
        <v>0</v>
      </c>
      <c r="G66" s="16">
        <f>重复匹配率!G89</f>
        <v>0</v>
      </c>
      <c r="H66" s="16">
        <f>重复匹配率!H89</f>
        <v>0</v>
      </c>
      <c r="I66" s="17">
        <v>0</v>
      </c>
      <c r="J66" s="18">
        <f t="shared" si="3"/>
        <v>0</v>
      </c>
    </row>
    <row r="67" spans="1:10">
      <c r="A67" s="16">
        <f>重复匹配率!A90</f>
        <v>0</v>
      </c>
      <c r="B67" s="16">
        <f>重复匹配率!B90</f>
        <v>0</v>
      </c>
      <c r="C67" s="16">
        <f>重复匹配率!C90</f>
        <v>0</v>
      </c>
      <c r="D67" s="16">
        <f>重复匹配率!D90</f>
        <v>0</v>
      </c>
      <c r="E67" s="16">
        <f>重复匹配率!E90</f>
        <v>0</v>
      </c>
      <c r="F67" s="16">
        <f>重复匹配率!F90</f>
        <v>0</v>
      </c>
      <c r="G67" s="16">
        <f>重复匹配率!G90</f>
        <v>0</v>
      </c>
      <c r="H67" s="16">
        <f>重复匹配率!H90</f>
        <v>0</v>
      </c>
      <c r="I67" s="17">
        <v>0.2</v>
      </c>
      <c r="J67" s="18">
        <f t="shared" si="3"/>
        <v>0</v>
      </c>
    </row>
    <row r="68" spans="1:10">
      <c r="A68" s="16">
        <f>重复匹配率!A91</f>
        <v>0</v>
      </c>
      <c r="B68" s="16">
        <f>重复匹配率!B91</f>
        <v>0</v>
      </c>
      <c r="C68" s="16">
        <f>重复匹配率!C91</f>
        <v>0</v>
      </c>
      <c r="D68" s="16">
        <f>重复匹配率!D91</f>
        <v>0</v>
      </c>
      <c r="E68" s="16">
        <f>重复匹配率!E91</f>
        <v>0</v>
      </c>
      <c r="F68" s="16">
        <f>重复匹配率!F91</f>
        <v>0</v>
      </c>
      <c r="G68" s="16">
        <f>重复匹配率!G91</f>
        <v>0</v>
      </c>
      <c r="H68" s="16">
        <f>重复匹配率!H91</f>
        <v>0</v>
      </c>
      <c r="I68" s="17">
        <v>0.3</v>
      </c>
      <c r="J68" s="18">
        <f t="shared" si="3"/>
        <v>0</v>
      </c>
    </row>
    <row r="69" spans="1:10">
      <c r="A69" s="16">
        <f>重复匹配率!A92</f>
        <v>0</v>
      </c>
      <c r="B69" s="16">
        <f>重复匹配率!B92</f>
        <v>0</v>
      </c>
      <c r="C69" s="16">
        <f>重复匹配率!C92</f>
        <v>0</v>
      </c>
      <c r="D69" s="16">
        <f>重复匹配率!D92</f>
        <v>0</v>
      </c>
      <c r="E69" s="16">
        <f>重复匹配率!E92</f>
        <v>0</v>
      </c>
      <c r="F69" s="16">
        <f>重复匹配率!F92</f>
        <v>0</v>
      </c>
      <c r="G69" s="16">
        <f>重复匹配率!G92</f>
        <v>0</v>
      </c>
      <c r="H69" s="16">
        <f>重复匹配率!H92</f>
        <v>0</v>
      </c>
      <c r="I69" s="17">
        <v>0.5</v>
      </c>
      <c r="J69" s="18">
        <f t="shared" si="3"/>
        <v>0</v>
      </c>
    </row>
    <row r="70" spans="1:10">
      <c r="A70" s="16">
        <f>重复匹配率!A93</f>
        <v>0</v>
      </c>
      <c r="B70" s="16">
        <f>重复匹配率!B93</f>
        <v>0</v>
      </c>
      <c r="C70" s="16">
        <f>重复匹配率!C93</f>
        <v>0</v>
      </c>
      <c r="D70" s="16">
        <f>重复匹配率!D93</f>
        <v>0</v>
      </c>
      <c r="E70" s="16">
        <f>重复匹配率!E93</f>
        <v>0</v>
      </c>
      <c r="F70" s="16">
        <f>重复匹配率!F93</f>
        <v>0</v>
      </c>
      <c r="G70" s="16">
        <f>重复匹配率!G93</f>
        <v>0</v>
      </c>
      <c r="H70" s="16">
        <f>重复匹配率!H93</f>
        <v>0</v>
      </c>
      <c r="I70" s="17">
        <v>0.6</v>
      </c>
      <c r="J70" s="18">
        <f t="shared" si="3"/>
        <v>0</v>
      </c>
    </row>
    <row r="71" spans="1:10">
      <c r="A71" s="16">
        <f>重复匹配率!A94</f>
        <v>0</v>
      </c>
      <c r="B71" s="16">
        <f>重复匹配率!B94</f>
        <v>0</v>
      </c>
      <c r="C71" s="16">
        <f>重复匹配率!C94</f>
        <v>0</v>
      </c>
      <c r="D71" s="16">
        <f>重复匹配率!D94</f>
        <v>0</v>
      </c>
      <c r="E71" s="16">
        <f>重复匹配率!E94</f>
        <v>0</v>
      </c>
      <c r="F71" s="16">
        <f>重复匹配率!F94</f>
        <v>0</v>
      </c>
      <c r="G71" s="16">
        <f>重复匹配率!G94</f>
        <v>0</v>
      </c>
      <c r="H71" s="16">
        <f>重复匹配率!H94</f>
        <v>0</v>
      </c>
      <c r="I71" s="17">
        <v>1</v>
      </c>
      <c r="J71" s="18">
        <f t="shared" si="3"/>
        <v>0</v>
      </c>
    </row>
    <row r="72" spans="1:10">
      <c r="A72" s="16">
        <f>重复匹配率!A95</f>
        <v>0</v>
      </c>
      <c r="B72" s="16">
        <f>重复匹配率!B95</f>
        <v>0</v>
      </c>
      <c r="C72" s="16">
        <f>重复匹配率!C95</f>
        <v>0</v>
      </c>
      <c r="D72" s="16">
        <f>重复匹配率!D95</f>
        <v>0</v>
      </c>
      <c r="E72" s="16">
        <f>重复匹配率!E95</f>
        <v>0</v>
      </c>
      <c r="F72" s="16">
        <f>重复匹配率!F95</f>
        <v>0</v>
      </c>
      <c r="G72" s="16">
        <f>重复匹配率!G95</f>
        <v>0</v>
      </c>
      <c r="H72" s="16">
        <f>重复匹配率!H95</f>
        <v>0</v>
      </c>
      <c r="I72" s="17">
        <v>1</v>
      </c>
      <c r="J72" s="18">
        <f t="shared" si="3"/>
        <v>0</v>
      </c>
    </row>
    <row r="73" spans="1:10">
      <c r="A73" s="19" t="s">
        <v>34</v>
      </c>
      <c r="B73" s="20"/>
      <c r="C73" s="20"/>
      <c r="D73" s="20"/>
      <c r="E73" s="20"/>
      <c r="F73" s="20"/>
      <c r="G73" s="20"/>
      <c r="H73" s="20"/>
      <c r="I73" s="20"/>
      <c r="J73" s="18">
        <f>SUM(J63:J72)</f>
        <v>0</v>
      </c>
    </row>
    <row r="81" spans="1:10">
      <c r="A81">
        <f>重复匹配率!B102</f>
        <v>0</v>
      </c>
    </row>
    <row r="82" ht="24" spans="1:10">
      <c r="A82" s="13">
        <f>重复匹配率!A105</f>
        <v>0</v>
      </c>
      <c r="B82" s="13">
        <f>重复匹配率!B105</f>
        <v>0</v>
      </c>
      <c r="C82" s="13">
        <f>重复匹配率!C105</f>
        <v>0</v>
      </c>
      <c r="D82" s="13">
        <f>重复匹配率!D105</f>
        <v>0</v>
      </c>
      <c r="E82" s="13">
        <f>重复匹配率!E105</f>
        <v>0</v>
      </c>
      <c r="F82" s="13">
        <f>重复匹配率!F105</f>
        <v>0</v>
      </c>
      <c r="G82" s="13">
        <f>重复匹配率!G105</f>
        <v>0</v>
      </c>
      <c r="H82" s="13">
        <f>重复匹配率!H105</f>
        <v>0</v>
      </c>
      <c r="I82" s="14" t="s">
        <v>32</v>
      </c>
      <c r="J82" s="15" t="s">
        <v>33</v>
      </c>
    </row>
    <row r="83" spans="1:10">
      <c r="A83" s="16">
        <f>重复匹配率!A106</f>
        <v>0</v>
      </c>
      <c r="B83" s="16">
        <f>重复匹配率!B106</f>
        <v>0</v>
      </c>
      <c r="C83" s="16">
        <f>重复匹配率!C106</f>
        <v>0</v>
      </c>
      <c r="D83" s="16">
        <f>重复匹配率!D106</f>
        <v>0</v>
      </c>
      <c r="E83" s="16">
        <f>重复匹配率!E106</f>
        <v>0</v>
      </c>
      <c r="F83" s="16">
        <f>重复匹配率!F106</f>
        <v>0</v>
      </c>
      <c r="G83" s="16">
        <f>重复匹配率!G106</f>
        <v>0</v>
      </c>
      <c r="H83" s="16">
        <f>重复匹配率!H106</f>
        <v>0</v>
      </c>
      <c r="I83" s="17">
        <v>0</v>
      </c>
      <c r="J83" s="18">
        <f t="shared" ref="J83:J92" si="4">E83*I83</f>
        <v>0</v>
      </c>
    </row>
    <row r="84" spans="1:10">
      <c r="A84" s="16">
        <f>重复匹配率!A107</f>
        <v>0</v>
      </c>
      <c r="B84" s="16">
        <f>重复匹配率!B107</f>
        <v>0</v>
      </c>
      <c r="C84" s="16">
        <f>重复匹配率!C107</f>
        <v>0</v>
      </c>
      <c r="D84" s="16">
        <f>重复匹配率!D107</f>
        <v>0</v>
      </c>
      <c r="E84" s="16">
        <f>重复匹配率!E107</f>
        <v>0</v>
      </c>
      <c r="F84" s="16">
        <f>重复匹配率!F107</f>
        <v>0</v>
      </c>
      <c r="G84" s="16">
        <f>重复匹配率!G107</f>
        <v>0</v>
      </c>
      <c r="H84" s="16">
        <f>重复匹配率!H107</f>
        <v>0</v>
      </c>
      <c r="I84" s="17">
        <v>0</v>
      </c>
      <c r="J84" s="18">
        <f t="shared" si="4"/>
        <v>0</v>
      </c>
    </row>
    <row r="85" spans="1:10">
      <c r="A85" s="16">
        <f>重复匹配率!A108</f>
        <v>0</v>
      </c>
      <c r="B85" s="16">
        <f>重复匹配率!B108</f>
        <v>0</v>
      </c>
      <c r="C85" s="16">
        <f>重复匹配率!C108</f>
        <v>0</v>
      </c>
      <c r="D85" s="16">
        <f>重复匹配率!D108</f>
        <v>0</v>
      </c>
      <c r="E85" s="16">
        <f>重复匹配率!E108</f>
        <v>0</v>
      </c>
      <c r="F85" s="16">
        <f>重复匹配率!F108</f>
        <v>0</v>
      </c>
      <c r="G85" s="16">
        <f>重复匹配率!G108</f>
        <v>0</v>
      </c>
      <c r="H85" s="16">
        <f>重复匹配率!H108</f>
        <v>0</v>
      </c>
      <c r="I85" s="17">
        <v>0.1</v>
      </c>
      <c r="J85" s="18">
        <f t="shared" si="4"/>
        <v>0</v>
      </c>
    </row>
    <row r="86" spans="1:10">
      <c r="A86" s="16">
        <f>重复匹配率!A109</f>
        <v>0</v>
      </c>
      <c r="B86" s="16">
        <f>重复匹配率!B109</f>
        <v>0</v>
      </c>
      <c r="C86" s="16">
        <f>重复匹配率!C109</f>
        <v>0</v>
      </c>
      <c r="D86" s="16">
        <f>重复匹配率!D109</f>
        <v>0</v>
      </c>
      <c r="E86" s="16">
        <f>重复匹配率!E109</f>
        <v>0</v>
      </c>
      <c r="F86" s="16">
        <f>重复匹配率!F109</f>
        <v>0</v>
      </c>
      <c r="G86" s="16">
        <f>重复匹配率!G109</f>
        <v>0</v>
      </c>
      <c r="H86" s="16">
        <f>重复匹配率!H109</f>
        <v>0</v>
      </c>
      <c r="I86" s="17">
        <v>0</v>
      </c>
      <c r="J86" s="18">
        <f t="shared" si="4"/>
        <v>0</v>
      </c>
    </row>
    <row r="87" spans="1:10">
      <c r="A87" s="16">
        <f>重复匹配率!A110</f>
        <v>0</v>
      </c>
      <c r="B87" s="16">
        <f>重复匹配率!B110</f>
        <v>0</v>
      </c>
      <c r="C87" s="16">
        <f>重复匹配率!C110</f>
        <v>0</v>
      </c>
      <c r="D87" s="16">
        <f>重复匹配率!D110</f>
        <v>0</v>
      </c>
      <c r="E87" s="16">
        <f>重复匹配率!E110</f>
        <v>0</v>
      </c>
      <c r="F87" s="16">
        <f>重复匹配率!F110</f>
        <v>0</v>
      </c>
      <c r="G87" s="16">
        <f>重复匹配率!G110</f>
        <v>0</v>
      </c>
      <c r="H87" s="16">
        <f>重复匹配率!H110</f>
        <v>0</v>
      </c>
      <c r="I87" s="17">
        <v>0.2</v>
      </c>
      <c r="J87" s="18">
        <f t="shared" si="4"/>
        <v>0</v>
      </c>
    </row>
    <row r="88" spans="1:10">
      <c r="A88" s="16">
        <f>重复匹配率!A111</f>
        <v>0</v>
      </c>
      <c r="B88" s="16">
        <f>重复匹配率!B111</f>
        <v>0</v>
      </c>
      <c r="C88" s="16">
        <f>重复匹配率!C111</f>
        <v>0</v>
      </c>
      <c r="D88" s="16">
        <f>重复匹配率!D111</f>
        <v>0</v>
      </c>
      <c r="E88" s="16">
        <f>重复匹配率!E111</f>
        <v>0</v>
      </c>
      <c r="F88" s="16">
        <f>重复匹配率!F111</f>
        <v>0</v>
      </c>
      <c r="G88" s="16">
        <f>重复匹配率!G111</f>
        <v>0</v>
      </c>
      <c r="H88" s="16">
        <f>重复匹配率!H111</f>
        <v>0</v>
      </c>
      <c r="I88" s="17">
        <v>0.3</v>
      </c>
      <c r="J88" s="18">
        <f t="shared" si="4"/>
        <v>0</v>
      </c>
    </row>
    <row r="89" spans="1:10">
      <c r="A89" s="16">
        <f>重复匹配率!A112</f>
        <v>0</v>
      </c>
      <c r="B89" s="16">
        <f>重复匹配率!B112</f>
        <v>0</v>
      </c>
      <c r="C89" s="16">
        <f>重复匹配率!C112</f>
        <v>0</v>
      </c>
      <c r="D89" s="16">
        <f>重复匹配率!D112</f>
        <v>0</v>
      </c>
      <c r="E89" s="16">
        <f>重复匹配率!E112</f>
        <v>0</v>
      </c>
      <c r="F89" s="16">
        <f>重复匹配率!F112</f>
        <v>0</v>
      </c>
      <c r="G89" s="16">
        <f>重复匹配率!G112</f>
        <v>0</v>
      </c>
      <c r="H89" s="16">
        <f>重复匹配率!H112</f>
        <v>0</v>
      </c>
      <c r="I89" s="17">
        <v>0.5</v>
      </c>
      <c r="J89" s="18">
        <f t="shared" si="4"/>
        <v>0</v>
      </c>
    </row>
    <row r="90" spans="1:10">
      <c r="A90" s="16">
        <f>重复匹配率!A113</f>
        <v>0</v>
      </c>
      <c r="B90" s="16">
        <f>重复匹配率!B113</f>
        <v>0</v>
      </c>
      <c r="C90" s="16">
        <f>重复匹配率!C113</f>
        <v>0</v>
      </c>
      <c r="D90" s="16">
        <f>重复匹配率!D113</f>
        <v>0</v>
      </c>
      <c r="E90" s="16">
        <f>重复匹配率!E113</f>
        <v>0</v>
      </c>
      <c r="F90" s="16">
        <f>重复匹配率!F113</f>
        <v>0</v>
      </c>
      <c r="G90" s="16">
        <f>重复匹配率!G113</f>
        <v>0</v>
      </c>
      <c r="H90" s="16">
        <f>重复匹配率!H113</f>
        <v>0</v>
      </c>
      <c r="I90" s="17">
        <v>0.6</v>
      </c>
      <c r="J90" s="18">
        <f t="shared" si="4"/>
        <v>0</v>
      </c>
    </row>
    <row r="91" spans="1:10">
      <c r="A91" s="16">
        <f>重复匹配率!A114</f>
        <v>0</v>
      </c>
      <c r="B91" s="16">
        <f>重复匹配率!B114</f>
        <v>0</v>
      </c>
      <c r="C91" s="16">
        <f>重复匹配率!C114</f>
        <v>0</v>
      </c>
      <c r="D91" s="16">
        <f>重复匹配率!D114</f>
        <v>0</v>
      </c>
      <c r="E91" s="16">
        <f>重复匹配率!E114</f>
        <v>0</v>
      </c>
      <c r="F91" s="16">
        <f>重复匹配率!F114</f>
        <v>0</v>
      </c>
      <c r="G91" s="16">
        <f>重复匹配率!G114</f>
        <v>0</v>
      </c>
      <c r="H91" s="16">
        <f>重复匹配率!H114</f>
        <v>0</v>
      </c>
      <c r="I91" s="17">
        <v>1</v>
      </c>
      <c r="J91" s="18">
        <f t="shared" si="4"/>
        <v>0</v>
      </c>
    </row>
    <row r="92" spans="1:10">
      <c r="A92" s="16">
        <f>重复匹配率!A115</f>
        <v>0</v>
      </c>
      <c r="B92" s="16">
        <f>重复匹配率!B115</f>
        <v>0</v>
      </c>
      <c r="C92" s="16">
        <f>重复匹配率!C115</f>
        <v>0</v>
      </c>
      <c r="D92" s="16">
        <f>重复匹配率!D115</f>
        <v>0</v>
      </c>
      <c r="E92" s="16">
        <f>重复匹配率!E115</f>
        <v>0</v>
      </c>
      <c r="F92" s="16">
        <f>重复匹配率!F115</f>
        <v>0</v>
      </c>
      <c r="G92" s="16">
        <f>重复匹配率!G115</f>
        <v>0</v>
      </c>
      <c r="H92" s="16">
        <f>重复匹配率!H115</f>
        <v>0</v>
      </c>
      <c r="I92" s="17">
        <v>1</v>
      </c>
      <c r="J92" s="18">
        <f t="shared" si="4"/>
        <v>0</v>
      </c>
    </row>
    <row r="93" spans="1:10">
      <c r="A93" s="19" t="s">
        <v>34</v>
      </c>
      <c r="B93" s="20"/>
      <c r="C93" s="20"/>
      <c r="D93" s="20"/>
      <c r="E93" s="20"/>
      <c r="F93" s="20"/>
      <c r="G93" s="20"/>
      <c r="H93" s="20"/>
      <c r="I93" s="20"/>
      <c r="J93" s="18">
        <f>SUM(J83:J92)</f>
        <v>0</v>
      </c>
    </row>
    <row r="101" spans="1:10">
      <c r="A101">
        <f>重复匹配率!B122</f>
        <v>0</v>
      </c>
    </row>
    <row r="102" ht="24" spans="1:10">
      <c r="A102" s="13">
        <f>重复匹配率!A125</f>
        <v>0</v>
      </c>
      <c r="B102" s="13">
        <f>重复匹配率!B125</f>
        <v>0</v>
      </c>
      <c r="C102" s="13">
        <f>重复匹配率!C125</f>
        <v>0</v>
      </c>
      <c r="D102" s="13">
        <f>重复匹配率!D125</f>
        <v>0</v>
      </c>
      <c r="E102" s="13">
        <f>重复匹配率!E125</f>
        <v>0</v>
      </c>
      <c r="F102" s="13">
        <f>重复匹配率!F125</f>
        <v>0</v>
      </c>
      <c r="G102" s="13">
        <f>重复匹配率!G125</f>
        <v>0</v>
      </c>
      <c r="H102" s="13">
        <f>重复匹配率!H125</f>
        <v>0</v>
      </c>
      <c r="I102" s="14" t="s">
        <v>32</v>
      </c>
      <c r="J102" s="15" t="s">
        <v>33</v>
      </c>
    </row>
    <row r="103" spans="1:10">
      <c r="A103" s="16">
        <f>重复匹配率!A126</f>
        <v>0</v>
      </c>
      <c r="B103" s="16">
        <f>重复匹配率!B126</f>
        <v>0</v>
      </c>
      <c r="C103" s="16">
        <f>重复匹配率!C126</f>
        <v>0</v>
      </c>
      <c r="D103" s="16">
        <f>重复匹配率!D126</f>
        <v>0</v>
      </c>
      <c r="E103" s="16">
        <f>重复匹配率!E126</f>
        <v>0</v>
      </c>
      <c r="F103" s="16">
        <f>重复匹配率!F126</f>
        <v>0</v>
      </c>
      <c r="G103" s="16">
        <f>重复匹配率!G126</f>
        <v>0</v>
      </c>
      <c r="H103" s="16">
        <f>重复匹配率!H126</f>
        <v>0</v>
      </c>
      <c r="I103" s="17">
        <v>0</v>
      </c>
      <c r="J103" s="18">
        <f t="shared" ref="J103:J112" si="5">E103*I103</f>
        <v>0</v>
      </c>
    </row>
    <row r="104" spans="1:10">
      <c r="A104" s="16">
        <f>重复匹配率!A127</f>
        <v>0</v>
      </c>
      <c r="B104" s="16">
        <f>重复匹配率!B127</f>
        <v>0</v>
      </c>
      <c r="C104" s="16">
        <f>重复匹配率!C127</f>
        <v>0</v>
      </c>
      <c r="D104" s="16">
        <f>重复匹配率!D127</f>
        <v>0</v>
      </c>
      <c r="E104" s="16">
        <f>重复匹配率!E127</f>
        <v>0</v>
      </c>
      <c r="F104" s="16">
        <f>重复匹配率!F127</f>
        <v>0</v>
      </c>
      <c r="G104" s="16">
        <f>重复匹配率!G127</f>
        <v>0</v>
      </c>
      <c r="H104" s="16">
        <f>重复匹配率!H127</f>
        <v>0</v>
      </c>
      <c r="I104" s="17">
        <v>0</v>
      </c>
      <c r="J104" s="18">
        <f t="shared" si="5"/>
        <v>0</v>
      </c>
    </row>
    <row r="105" spans="1:10">
      <c r="A105" s="16">
        <f>重复匹配率!A128</f>
        <v>0</v>
      </c>
      <c r="B105" s="16">
        <f>重复匹配率!B128</f>
        <v>0</v>
      </c>
      <c r="C105" s="16">
        <f>重复匹配率!C128</f>
        <v>0</v>
      </c>
      <c r="D105" s="16">
        <f>重复匹配率!D128</f>
        <v>0</v>
      </c>
      <c r="E105" s="16">
        <f>重复匹配率!E128</f>
        <v>0</v>
      </c>
      <c r="F105" s="16">
        <f>重复匹配率!F128</f>
        <v>0</v>
      </c>
      <c r="G105" s="16">
        <f>重复匹配率!G128</f>
        <v>0</v>
      </c>
      <c r="H105" s="16">
        <f>重复匹配率!H128</f>
        <v>0</v>
      </c>
      <c r="I105" s="17">
        <v>0.1</v>
      </c>
      <c r="J105" s="18">
        <f t="shared" si="5"/>
        <v>0</v>
      </c>
    </row>
    <row r="106" spans="1:10">
      <c r="A106" s="16">
        <f>重复匹配率!A129</f>
        <v>0</v>
      </c>
      <c r="B106" s="16">
        <f>重复匹配率!B129</f>
        <v>0</v>
      </c>
      <c r="C106" s="16">
        <f>重复匹配率!C129</f>
        <v>0</v>
      </c>
      <c r="D106" s="16">
        <f>重复匹配率!D129</f>
        <v>0</v>
      </c>
      <c r="E106" s="16">
        <f>重复匹配率!E129</f>
        <v>0</v>
      </c>
      <c r="F106" s="16">
        <f>重复匹配率!F129</f>
        <v>0</v>
      </c>
      <c r="G106" s="16">
        <f>重复匹配率!G129</f>
        <v>0</v>
      </c>
      <c r="H106" s="16">
        <f>重复匹配率!H129</f>
        <v>0</v>
      </c>
      <c r="I106" s="17">
        <v>0</v>
      </c>
      <c r="J106" s="18">
        <f t="shared" si="5"/>
        <v>0</v>
      </c>
    </row>
    <row r="107" spans="1:10">
      <c r="A107" s="16">
        <f>重复匹配率!A130</f>
        <v>0</v>
      </c>
      <c r="B107" s="16">
        <f>重复匹配率!B130</f>
        <v>0</v>
      </c>
      <c r="C107" s="16">
        <f>重复匹配率!C130</f>
        <v>0</v>
      </c>
      <c r="D107" s="16">
        <f>重复匹配率!D130</f>
        <v>0</v>
      </c>
      <c r="E107" s="16">
        <f>重复匹配率!E130</f>
        <v>0</v>
      </c>
      <c r="F107" s="16">
        <f>重复匹配率!F130</f>
        <v>0</v>
      </c>
      <c r="G107" s="16">
        <f>重复匹配率!G130</f>
        <v>0</v>
      </c>
      <c r="H107" s="16">
        <f>重复匹配率!H130</f>
        <v>0</v>
      </c>
      <c r="I107" s="17">
        <v>0.2</v>
      </c>
      <c r="J107" s="18">
        <f t="shared" si="5"/>
        <v>0</v>
      </c>
    </row>
    <row r="108" spans="1:10">
      <c r="A108" s="16">
        <f>重复匹配率!A131</f>
        <v>0</v>
      </c>
      <c r="B108" s="16">
        <f>重复匹配率!B131</f>
        <v>0</v>
      </c>
      <c r="C108" s="16">
        <f>重复匹配率!C131</f>
        <v>0</v>
      </c>
      <c r="D108" s="16">
        <f>重复匹配率!D131</f>
        <v>0</v>
      </c>
      <c r="E108" s="16">
        <f>重复匹配率!E131</f>
        <v>0</v>
      </c>
      <c r="F108" s="16">
        <f>重复匹配率!F131</f>
        <v>0</v>
      </c>
      <c r="G108" s="16">
        <f>重复匹配率!G131</f>
        <v>0</v>
      </c>
      <c r="H108" s="16">
        <f>重复匹配率!H131</f>
        <v>0</v>
      </c>
      <c r="I108" s="17">
        <v>0.3</v>
      </c>
      <c r="J108" s="18">
        <f t="shared" si="5"/>
        <v>0</v>
      </c>
    </row>
    <row r="109" spans="1:10">
      <c r="A109" s="16">
        <f>重复匹配率!A132</f>
        <v>0</v>
      </c>
      <c r="B109" s="16">
        <f>重复匹配率!B132</f>
        <v>0</v>
      </c>
      <c r="C109" s="16">
        <f>重复匹配率!C132</f>
        <v>0</v>
      </c>
      <c r="D109" s="16">
        <f>重复匹配率!D132</f>
        <v>0</v>
      </c>
      <c r="E109" s="16">
        <f>重复匹配率!E132</f>
        <v>0</v>
      </c>
      <c r="F109" s="16">
        <f>重复匹配率!F132</f>
        <v>0</v>
      </c>
      <c r="G109" s="16">
        <f>重复匹配率!G132</f>
        <v>0</v>
      </c>
      <c r="H109" s="16">
        <f>重复匹配率!H132</f>
        <v>0</v>
      </c>
      <c r="I109" s="17">
        <v>0.5</v>
      </c>
      <c r="J109" s="18">
        <f t="shared" si="5"/>
        <v>0</v>
      </c>
    </row>
    <row r="110" spans="1:10">
      <c r="A110" s="16">
        <f>重复匹配率!A133</f>
        <v>0</v>
      </c>
      <c r="B110" s="16">
        <f>重复匹配率!B133</f>
        <v>0</v>
      </c>
      <c r="C110" s="16">
        <f>重复匹配率!C133</f>
        <v>0</v>
      </c>
      <c r="D110" s="16">
        <f>重复匹配率!D133</f>
        <v>0</v>
      </c>
      <c r="E110" s="16">
        <f>重复匹配率!E133</f>
        <v>0</v>
      </c>
      <c r="F110" s="16">
        <f>重复匹配率!F133</f>
        <v>0</v>
      </c>
      <c r="G110" s="16">
        <f>重复匹配率!G133</f>
        <v>0</v>
      </c>
      <c r="H110" s="16">
        <f>重复匹配率!H133</f>
        <v>0</v>
      </c>
      <c r="I110" s="17">
        <v>0.6</v>
      </c>
      <c r="J110" s="18">
        <f t="shared" si="5"/>
        <v>0</v>
      </c>
    </row>
    <row r="111" spans="1:10">
      <c r="A111" s="16">
        <f>重复匹配率!A134</f>
        <v>0</v>
      </c>
      <c r="B111" s="16">
        <f>重复匹配率!B134</f>
        <v>0</v>
      </c>
      <c r="C111" s="16">
        <f>重复匹配率!C134</f>
        <v>0</v>
      </c>
      <c r="D111" s="16">
        <f>重复匹配率!D134</f>
        <v>0</v>
      </c>
      <c r="E111" s="16">
        <f>重复匹配率!E134</f>
        <v>0</v>
      </c>
      <c r="F111" s="16">
        <f>重复匹配率!F134</f>
        <v>0</v>
      </c>
      <c r="G111" s="16">
        <f>重复匹配率!G134</f>
        <v>0</v>
      </c>
      <c r="H111" s="16">
        <f>重复匹配率!H134</f>
        <v>0</v>
      </c>
      <c r="I111" s="17">
        <v>1</v>
      </c>
      <c r="J111" s="18">
        <f t="shared" si="5"/>
        <v>0</v>
      </c>
    </row>
    <row r="112" spans="1:10">
      <c r="A112" s="16">
        <f>重复匹配率!A135</f>
        <v>0</v>
      </c>
      <c r="B112" s="16">
        <f>重复匹配率!B135</f>
        <v>0</v>
      </c>
      <c r="C112" s="16">
        <f>重复匹配率!C135</f>
        <v>0</v>
      </c>
      <c r="D112" s="16">
        <f>重复匹配率!D135</f>
        <v>0</v>
      </c>
      <c r="E112" s="16">
        <f>重复匹配率!E135</f>
        <v>0</v>
      </c>
      <c r="F112" s="16">
        <f>重复匹配率!F135</f>
        <v>0</v>
      </c>
      <c r="G112" s="16">
        <f>重复匹配率!G135</f>
        <v>0</v>
      </c>
      <c r="H112" s="16">
        <f>重复匹配率!H135</f>
        <v>0</v>
      </c>
      <c r="I112" s="17">
        <v>1</v>
      </c>
      <c r="J112" s="18">
        <f t="shared" si="5"/>
        <v>0</v>
      </c>
    </row>
    <row r="113" spans="1:10">
      <c r="A113" s="19" t="s">
        <v>34</v>
      </c>
      <c r="B113" s="20"/>
      <c r="C113" s="20"/>
      <c r="D113" s="20"/>
      <c r="E113" s="20"/>
      <c r="F113" s="20"/>
      <c r="G113" s="20"/>
      <c r="H113" s="20"/>
      <c r="I113" s="20"/>
      <c r="J113" s="18">
        <f>SUM(J103:J112)</f>
        <v>0</v>
      </c>
    </row>
    <row r="121" spans="1:10">
      <c r="A121">
        <f>重复匹配率!B142</f>
        <v>0</v>
      </c>
    </row>
    <row r="122" ht="24" spans="1:10">
      <c r="A122" s="13">
        <f>重复匹配率!A145</f>
        <v>0</v>
      </c>
      <c r="B122" s="13">
        <f>重复匹配率!B145</f>
        <v>0</v>
      </c>
      <c r="C122" s="13">
        <f>重复匹配率!C145</f>
        <v>0</v>
      </c>
      <c r="D122" s="13">
        <f>重复匹配率!D145</f>
        <v>0</v>
      </c>
      <c r="E122" s="13">
        <f>重复匹配率!E145</f>
        <v>0</v>
      </c>
      <c r="F122" s="13">
        <f>重复匹配率!F145</f>
        <v>0</v>
      </c>
      <c r="G122" s="13">
        <f>重复匹配率!G145</f>
        <v>0</v>
      </c>
      <c r="H122" s="13">
        <f>重复匹配率!H145</f>
        <v>0</v>
      </c>
      <c r="I122" s="14" t="s">
        <v>32</v>
      </c>
      <c r="J122" s="15" t="s">
        <v>33</v>
      </c>
    </row>
    <row r="123" spans="1:10">
      <c r="A123" s="16">
        <f>重复匹配率!A146</f>
        <v>0</v>
      </c>
      <c r="B123" s="16">
        <f>重复匹配率!B146</f>
        <v>0</v>
      </c>
      <c r="C123" s="16">
        <f>重复匹配率!C146</f>
        <v>0</v>
      </c>
      <c r="D123" s="16">
        <f>重复匹配率!D146</f>
        <v>0</v>
      </c>
      <c r="E123" s="16">
        <f>重复匹配率!E146</f>
        <v>0</v>
      </c>
      <c r="F123" s="16">
        <f>重复匹配率!F146</f>
        <v>0</v>
      </c>
      <c r="G123" s="16">
        <f>重复匹配率!G146</f>
        <v>0</v>
      </c>
      <c r="H123" s="16">
        <f>重复匹配率!H146</f>
        <v>0</v>
      </c>
      <c r="I123" s="17">
        <v>0</v>
      </c>
      <c r="J123" s="18">
        <f t="shared" ref="J123:J132" si="6">E123*I123</f>
        <v>0</v>
      </c>
    </row>
    <row r="124" spans="1:10">
      <c r="A124" s="16">
        <f>重复匹配率!A147</f>
        <v>0</v>
      </c>
      <c r="B124" s="16">
        <f>重复匹配率!B147</f>
        <v>0</v>
      </c>
      <c r="C124" s="16">
        <f>重复匹配率!C147</f>
        <v>0</v>
      </c>
      <c r="D124" s="16">
        <f>重复匹配率!D147</f>
        <v>0</v>
      </c>
      <c r="E124" s="16">
        <f>重复匹配率!E147</f>
        <v>0</v>
      </c>
      <c r="F124" s="16">
        <f>重复匹配率!F147</f>
        <v>0</v>
      </c>
      <c r="G124" s="16">
        <f>重复匹配率!G147</f>
        <v>0</v>
      </c>
      <c r="H124" s="16">
        <f>重复匹配率!H147</f>
        <v>0</v>
      </c>
      <c r="I124" s="17">
        <v>0</v>
      </c>
      <c r="J124" s="18">
        <f t="shared" si="6"/>
        <v>0</v>
      </c>
    </row>
    <row r="125" spans="1:10">
      <c r="A125" s="16">
        <f>重复匹配率!A148</f>
        <v>0</v>
      </c>
      <c r="B125" s="16">
        <f>重复匹配率!B148</f>
        <v>0</v>
      </c>
      <c r="C125" s="16">
        <f>重复匹配率!C148</f>
        <v>0</v>
      </c>
      <c r="D125" s="16">
        <f>重复匹配率!D148</f>
        <v>0</v>
      </c>
      <c r="E125" s="16">
        <f>重复匹配率!E148</f>
        <v>0</v>
      </c>
      <c r="F125" s="16">
        <f>重复匹配率!F148</f>
        <v>0</v>
      </c>
      <c r="G125" s="16">
        <f>重复匹配率!G148</f>
        <v>0</v>
      </c>
      <c r="H125" s="16">
        <f>重复匹配率!H148</f>
        <v>0</v>
      </c>
      <c r="I125" s="17">
        <v>0.1</v>
      </c>
      <c r="J125" s="18">
        <f t="shared" si="6"/>
        <v>0</v>
      </c>
    </row>
    <row r="126" spans="1:10">
      <c r="A126" s="16">
        <f>重复匹配率!A149</f>
        <v>0</v>
      </c>
      <c r="B126" s="16">
        <f>重复匹配率!B149</f>
        <v>0</v>
      </c>
      <c r="C126" s="16">
        <f>重复匹配率!C149</f>
        <v>0</v>
      </c>
      <c r="D126" s="16">
        <f>重复匹配率!D149</f>
        <v>0</v>
      </c>
      <c r="E126" s="16">
        <f>重复匹配率!E149</f>
        <v>0</v>
      </c>
      <c r="F126" s="16">
        <f>重复匹配率!F149</f>
        <v>0</v>
      </c>
      <c r="G126" s="16">
        <f>重复匹配率!G149</f>
        <v>0</v>
      </c>
      <c r="H126" s="16">
        <f>重复匹配率!H149</f>
        <v>0</v>
      </c>
      <c r="I126" s="17">
        <v>0</v>
      </c>
      <c r="J126" s="18">
        <f t="shared" si="6"/>
        <v>0</v>
      </c>
    </row>
    <row r="127" spans="1:10">
      <c r="A127" s="16">
        <f>重复匹配率!A150</f>
        <v>0</v>
      </c>
      <c r="B127" s="16">
        <f>重复匹配率!B150</f>
        <v>0</v>
      </c>
      <c r="C127" s="16">
        <f>重复匹配率!C150</f>
        <v>0</v>
      </c>
      <c r="D127" s="16">
        <f>重复匹配率!D150</f>
        <v>0</v>
      </c>
      <c r="E127" s="16">
        <f>重复匹配率!E150</f>
        <v>0</v>
      </c>
      <c r="F127" s="16">
        <f>重复匹配率!F150</f>
        <v>0</v>
      </c>
      <c r="G127" s="16">
        <f>重复匹配率!G150</f>
        <v>0</v>
      </c>
      <c r="H127" s="16">
        <f>重复匹配率!H150</f>
        <v>0</v>
      </c>
      <c r="I127" s="17">
        <v>0.2</v>
      </c>
      <c r="J127" s="18">
        <f t="shared" si="6"/>
        <v>0</v>
      </c>
    </row>
    <row r="128" spans="1:10">
      <c r="A128" s="16">
        <f>重复匹配率!A151</f>
        <v>0</v>
      </c>
      <c r="B128" s="16">
        <f>重复匹配率!B151</f>
        <v>0</v>
      </c>
      <c r="C128" s="16">
        <f>重复匹配率!C151</f>
        <v>0</v>
      </c>
      <c r="D128" s="16">
        <f>重复匹配率!D151</f>
        <v>0</v>
      </c>
      <c r="E128" s="16">
        <f>重复匹配率!E151</f>
        <v>0</v>
      </c>
      <c r="F128" s="16">
        <f>重复匹配率!F151</f>
        <v>0</v>
      </c>
      <c r="G128" s="16">
        <f>重复匹配率!G151</f>
        <v>0</v>
      </c>
      <c r="H128" s="16">
        <f>重复匹配率!H151</f>
        <v>0</v>
      </c>
      <c r="I128" s="17">
        <v>0.3</v>
      </c>
      <c r="J128" s="18">
        <f t="shared" si="6"/>
        <v>0</v>
      </c>
    </row>
    <row r="129" spans="1:10">
      <c r="A129" s="16">
        <f>重复匹配率!A152</f>
        <v>0</v>
      </c>
      <c r="B129" s="16">
        <f>重复匹配率!B152</f>
        <v>0</v>
      </c>
      <c r="C129" s="16">
        <f>重复匹配率!C152</f>
        <v>0</v>
      </c>
      <c r="D129" s="16">
        <f>重复匹配率!D152</f>
        <v>0</v>
      </c>
      <c r="E129" s="16">
        <f>重复匹配率!E152</f>
        <v>0</v>
      </c>
      <c r="F129" s="16">
        <f>重复匹配率!F152</f>
        <v>0</v>
      </c>
      <c r="G129" s="16">
        <f>重复匹配率!G152</f>
        <v>0</v>
      </c>
      <c r="H129" s="16">
        <f>重复匹配率!H152</f>
        <v>0</v>
      </c>
      <c r="I129" s="17">
        <v>0.5</v>
      </c>
      <c r="J129" s="18">
        <f t="shared" si="6"/>
        <v>0</v>
      </c>
    </row>
    <row r="130" spans="1:10">
      <c r="A130" s="16">
        <f>重复匹配率!A153</f>
        <v>0</v>
      </c>
      <c r="B130" s="16">
        <f>重复匹配率!B153</f>
        <v>0</v>
      </c>
      <c r="C130" s="16">
        <f>重复匹配率!C153</f>
        <v>0</v>
      </c>
      <c r="D130" s="16">
        <f>重复匹配率!D153</f>
        <v>0</v>
      </c>
      <c r="E130" s="16">
        <f>重复匹配率!E153</f>
        <v>0</v>
      </c>
      <c r="F130" s="16">
        <f>重复匹配率!F153</f>
        <v>0</v>
      </c>
      <c r="G130" s="16">
        <f>重复匹配率!G153</f>
        <v>0</v>
      </c>
      <c r="H130" s="16">
        <f>重复匹配率!H153</f>
        <v>0</v>
      </c>
      <c r="I130" s="17">
        <v>0.6</v>
      </c>
      <c r="J130" s="18">
        <f t="shared" si="6"/>
        <v>0</v>
      </c>
    </row>
    <row r="131" spans="1:10">
      <c r="A131" s="16">
        <f>重复匹配率!A154</f>
        <v>0</v>
      </c>
      <c r="B131" s="16">
        <f>重复匹配率!B154</f>
        <v>0</v>
      </c>
      <c r="C131" s="16">
        <f>重复匹配率!C154</f>
        <v>0</v>
      </c>
      <c r="D131" s="16">
        <f>重复匹配率!D154</f>
        <v>0</v>
      </c>
      <c r="E131" s="16">
        <f>重复匹配率!E154</f>
        <v>0</v>
      </c>
      <c r="F131" s="16">
        <f>重复匹配率!F154</f>
        <v>0</v>
      </c>
      <c r="G131" s="16">
        <f>重复匹配率!G154</f>
        <v>0</v>
      </c>
      <c r="H131" s="16">
        <f>重复匹配率!H154</f>
        <v>0</v>
      </c>
      <c r="I131" s="17">
        <v>1</v>
      </c>
      <c r="J131" s="18">
        <f t="shared" si="6"/>
        <v>0</v>
      </c>
    </row>
    <row r="132" spans="1:10">
      <c r="A132" s="16">
        <f>重复匹配率!A155</f>
        <v>0</v>
      </c>
      <c r="B132" s="16">
        <f>重复匹配率!B155</f>
        <v>0</v>
      </c>
      <c r="C132" s="16">
        <f>重复匹配率!C155</f>
        <v>0</v>
      </c>
      <c r="D132" s="16">
        <f>重复匹配率!D155</f>
        <v>0</v>
      </c>
      <c r="E132" s="16">
        <f>重复匹配率!E155</f>
        <v>0</v>
      </c>
      <c r="F132" s="16">
        <f>重复匹配率!F155</f>
        <v>0</v>
      </c>
      <c r="G132" s="16">
        <f>重复匹配率!G155</f>
        <v>0</v>
      </c>
      <c r="H132" s="16">
        <f>重复匹配率!H155</f>
        <v>0</v>
      </c>
      <c r="I132" s="17">
        <v>1</v>
      </c>
      <c r="J132" s="18">
        <f t="shared" si="6"/>
        <v>0</v>
      </c>
    </row>
    <row r="133" spans="1:10">
      <c r="A133" s="19" t="s">
        <v>34</v>
      </c>
      <c r="B133" s="20"/>
      <c r="C133" s="20"/>
      <c r="D133" s="20"/>
      <c r="E133" s="20"/>
      <c r="F133" s="20"/>
      <c r="G133" s="20"/>
      <c r="H133" s="20"/>
      <c r="I133" s="20"/>
      <c r="J133" s="18">
        <f>SUM(J123:J132)</f>
        <v>0</v>
      </c>
    </row>
    <row r="141" spans="1:10">
      <c r="A141">
        <f>重复匹配率!B162</f>
        <v>0</v>
      </c>
    </row>
    <row r="142" ht="24" spans="1:10">
      <c r="A142" s="13">
        <f>重复匹配率!A165</f>
        <v>0</v>
      </c>
      <c r="B142" s="13">
        <f>重复匹配率!B165</f>
        <v>0</v>
      </c>
      <c r="C142" s="13">
        <f>重复匹配率!C165</f>
        <v>0</v>
      </c>
      <c r="D142" s="13">
        <f>重复匹配率!D165</f>
        <v>0</v>
      </c>
      <c r="E142" s="13">
        <f>重复匹配率!E165</f>
        <v>0</v>
      </c>
      <c r="F142" s="13">
        <f>重复匹配率!F165</f>
        <v>0</v>
      </c>
      <c r="G142" s="13">
        <f>重复匹配率!G165</f>
        <v>0</v>
      </c>
      <c r="H142" s="13">
        <f>重复匹配率!H165</f>
        <v>0</v>
      </c>
      <c r="I142" s="14" t="s">
        <v>32</v>
      </c>
      <c r="J142" s="15" t="s">
        <v>33</v>
      </c>
    </row>
    <row r="143" spans="1:10">
      <c r="A143" s="16">
        <f>重复匹配率!A166</f>
        <v>0</v>
      </c>
      <c r="B143" s="16">
        <f>重复匹配率!B166</f>
        <v>0</v>
      </c>
      <c r="C143" s="16">
        <f>重复匹配率!C166</f>
        <v>0</v>
      </c>
      <c r="D143" s="16">
        <f>重复匹配率!D166</f>
        <v>0</v>
      </c>
      <c r="E143" s="16">
        <f>重复匹配率!E166</f>
        <v>0</v>
      </c>
      <c r="F143" s="16">
        <f>重复匹配率!F166</f>
        <v>0</v>
      </c>
      <c r="G143" s="16">
        <f>重复匹配率!G166</f>
        <v>0</v>
      </c>
      <c r="H143" s="16">
        <f>重复匹配率!H166</f>
        <v>0</v>
      </c>
      <c r="I143" s="17">
        <v>0</v>
      </c>
      <c r="J143" s="18">
        <f t="shared" ref="J143:J152" si="7">E143*I143</f>
        <v>0</v>
      </c>
    </row>
    <row r="144" spans="1:10">
      <c r="A144" s="16">
        <f>重复匹配率!A167</f>
        <v>0</v>
      </c>
      <c r="B144" s="16">
        <f>重复匹配率!B167</f>
        <v>0</v>
      </c>
      <c r="C144" s="16">
        <f>重复匹配率!C167</f>
        <v>0</v>
      </c>
      <c r="D144" s="16">
        <f>重复匹配率!D167</f>
        <v>0</v>
      </c>
      <c r="E144" s="16">
        <f>重复匹配率!E167</f>
        <v>0</v>
      </c>
      <c r="F144" s="16">
        <f>重复匹配率!F167</f>
        <v>0</v>
      </c>
      <c r="G144" s="16">
        <f>重复匹配率!G167</f>
        <v>0</v>
      </c>
      <c r="H144" s="16">
        <f>重复匹配率!H167</f>
        <v>0</v>
      </c>
      <c r="I144" s="17">
        <v>0</v>
      </c>
      <c r="J144" s="18">
        <f t="shared" si="7"/>
        <v>0</v>
      </c>
    </row>
    <row r="145" spans="1:10">
      <c r="A145" s="16">
        <f>重复匹配率!A168</f>
        <v>0</v>
      </c>
      <c r="B145" s="16">
        <f>重复匹配率!B168</f>
        <v>0</v>
      </c>
      <c r="C145" s="16">
        <f>重复匹配率!C168</f>
        <v>0</v>
      </c>
      <c r="D145" s="16">
        <f>重复匹配率!D168</f>
        <v>0</v>
      </c>
      <c r="E145" s="16">
        <f>重复匹配率!E168</f>
        <v>0</v>
      </c>
      <c r="F145" s="16">
        <f>重复匹配率!F168</f>
        <v>0</v>
      </c>
      <c r="G145" s="16">
        <f>重复匹配率!G168</f>
        <v>0</v>
      </c>
      <c r="H145" s="16">
        <f>重复匹配率!H168</f>
        <v>0</v>
      </c>
      <c r="I145" s="17">
        <v>0.1</v>
      </c>
      <c r="J145" s="18">
        <f t="shared" si="7"/>
        <v>0</v>
      </c>
    </row>
    <row r="146" spans="1:10">
      <c r="A146" s="16">
        <f>重复匹配率!A169</f>
        <v>0</v>
      </c>
      <c r="B146" s="16">
        <f>重复匹配率!B169</f>
        <v>0</v>
      </c>
      <c r="C146" s="16">
        <f>重复匹配率!C169</f>
        <v>0</v>
      </c>
      <c r="D146" s="16">
        <f>重复匹配率!D169</f>
        <v>0</v>
      </c>
      <c r="E146" s="16">
        <f>重复匹配率!E169</f>
        <v>0</v>
      </c>
      <c r="F146" s="16">
        <f>重复匹配率!F169</f>
        <v>0</v>
      </c>
      <c r="G146" s="16">
        <f>重复匹配率!G169</f>
        <v>0</v>
      </c>
      <c r="H146" s="16">
        <f>重复匹配率!H169</f>
        <v>0</v>
      </c>
      <c r="I146" s="17">
        <v>0</v>
      </c>
      <c r="J146" s="18">
        <f t="shared" si="7"/>
        <v>0</v>
      </c>
    </row>
    <row r="147" spans="1:10">
      <c r="A147" s="16">
        <f>重复匹配率!A170</f>
        <v>0</v>
      </c>
      <c r="B147" s="16">
        <f>重复匹配率!B170</f>
        <v>0</v>
      </c>
      <c r="C147" s="16">
        <f>重复匹配率!C170</f>
        <v>0</v>
      </c>
      <c r="D147" s="16">
        <f>重复匹配率!D170</f>
        <v>0</v>
      </c>
      <c r="E147" s="16">
        <f>重复匹配率!E170</f>
        <v>0</v>
      </c>
      <c r="F147" s="16">
        <f>重复匹配率!F170</f>
        <v>0</v>
      </c>
      <c r="G147" s="16">
        <f>重复匹配率!G170</f>
        <v>0</v>
      </c>
      <c r="H147" s="16">
        <f>重复匹配率!H170</f>
        <v>0</v>
      </c>
      <c r="I147" s="17">
        <v>0.2</v>
      </c>
      <c r="J147" s="18">
        <f t="shared" si="7"/>
        <v>0</v>
      </c>
    </row>
    <row r="148" spans="1:10">
      <c r="A148" s="16">
        <f>重复匹配率!A171</f>
        <v>0</v>
      </c>
      <c r="B148" s="16">
        <f>重复匹配率!B171</f>
        <v>0</v>
      </c>
      <c r="C148" s="16">
        <f>重复匹配率!C171</f>
        <v>0</v>
      </c>
      <c r="D148" s="16">
        <f>重复匹配率!D171</f>
        <v>0</v>
      </c>
      <c r="E148" s="16">
        <f>重复匹配率!E171</f>
        <v>0</v>
      </c>
      <c r="F148" s="16">
        <f>重复匹配率!F171</f>
        <v>0</v>
      </c>
      <c r="G148" s="16">
        <f>重复匹配率!G171</f>
        <v>0</v>
      </c>
      <c r="H148" s="16">
        <f>重复匹配率!H171</f>
        <v>0</v>
      </c>
      <c r="I148" s="17">
        <v>0.3</v>
      </c>
      <c r="J148" s="18">
        <f t="shared" si="7"/>
        <v>0</v>
      </c>
    </row>
    <row r="149" spans="1:10">
      <c r="A149" s="16">
        <f>重复匹配率!A172</f>
        <v>0</v>
      </c>
      <c r="B149" s="16">
        <f>重复匹配率!B172</f>
        <v>0</v>
      </c>
      <c r="C149" s="16">
        <f>重复匹配率!C172</f>
        <v>0</v>
      </c>
      <c r="D149" s="16">
        <f>重复匹配率!D172</f>
        <v>0</v>
      </c>
      <c r="E149" s="16">
        <f>重复匹配率!E172</f>
        <v>0</v>
      </c>
      <c r="F149" s="16">
        <f>重复匹配率!F172</f>
        <v>0</v>
      </c>
      <c r="G149" s="16">
        <f>重复匹配率!G172</f>
        <v>0</v>
      </c>
      <c r="H149" s="16">
        <f>重复匹配率!H172</f>
        <v>0</v>
      </c>
      <c r="I149" s="17">
        <v>0.5</v>
      </c>
      <c r="J149" s="18">
        <f t="shared" si="7"/>
        <v>0</v>
      </c>
    </row>
    <row r="150" spans="1:10">
      <c r="A150" s="16">
        <f>重复匹配率!A173</f>
        <v>0</v>
      </c>
      <c r="B150" s="16">
        <f>重复匹配率!B173</f>
        <v>0</v>
      </c>
      <c r="C150" s="16">
        <f>重复匹配率!C173</f>
        <v>0</v>
      </c>
      <c r="D150" s="16">
        <f>重复匹配率!D173</f>
        <v>0</v>
      </c>
      <c r="E150" s="16">
        <f>重复匹配率!E173</f>
        <v>0</v>
      </c>
      <c r="F150" s="16">
        <f>重复匹配率!F173</f>
        <v>0</v>
      </c>
      <c r="G150" s="16">
        <f>重复匹配率!G173</f>
        <v>0</v>
      </c>
      <c r="H150" s="16">
        <f>重复匹配率!H173</f>
        <v>0</v>
      </c>
      <c r="I150" s="17">
        <v>0.6</v>
      </c>
      <c r="J150" s="18">
        <f t="shared" si="7"/>
        <v>0</v>
      </c>
    </row>
    <row r="151" spans="1:10">
      <c r="A151" s="16">
        <f>重复匹配率!A174</f>
        <v>0</v>
      </c>
      <c r="B151" s="16">
        <f>重复匹配率!B174</f>
        <v>0</v>
      </c>
      <c r="C151" s="16">
        <f>重复匹配率!C174</f>
        <v>0</v>
      </c>
      <c r="D151" s="16">
        <f>重复匹配率!D174</f>
        <v>0</v>
      </c>
      <c r="E151" s="16">
        <f>重复匹配率!E174</f>
        <v>0</v>
      </c>
      <c r="F151" s="16">
        <f>重复匹配率!F174</f>
        <v>0</v>
      </c>
      <c r="G151" s="16">
        <f>重复匹配率!G174</f>
        <v>0</v>
      </c>
      <c r="H151" s="16">
        <f>重复匹配率!H174</f>
        <v>0</v>
      </c>
      <c r="I151" s="17">
        <v>1</v>
      </c>
      <c r="J151" s="18">
        <f t="shared" si="7"/>
        <v>0</v>
      </c>
    </row>
    <row r="152" spans="1:10">
      <c r="A152" s="16">
        <f>重复匹配率!A175</f>
        <v>0</v>
      </c>
      <c r="B152" s="16">
        <f>重复匹配率!B175</f>
        <v>0</v>
      </c>
      <c r="C152" s="16">
        <f>重复匹配率!C175</f>
        <v>0</v>
      </c>
      <c r="D152" s="16">
        <f>重复匹配率!D175</f>
        <v>0</v>
      </c>
      <c r="E152" s="16">
        <f>重复匹配率!E175</f>
        <v>0</v>
      </c>
      <c r="F152" s="16">
        <f>重复匹配率!F175</f>
        <v>0</v>
      </c>
      <c r="G152" s="16">
        <f>重复匹配率!G175</f>
        <v>0</v>
      </c>
      <c r="H152" s="16">
        <f>重复匹配率!H175</f>
        <v>0</v>
      </c>
      <c r="I152" s="17">
        <v>1</v>
      </c>
      <c r="J152" s="18">
        <f t="shared" si="7"/>
        <v>0</v>
      </c>
    </row>
    <row r="153" spans="1:10">
      <c r="A153" s="19" t="s">
        <v>34</v>
      </c>
      <c r="B153" s="20"/>
      <c r="C153" s="20"/>
      <c r="D153" s="20"/>
      <c r="E153" s="20"/>
      <c r="F153" s="20"/>
      <c r="G153" s="20"/>
      <c r="H153" s="20"/>
      <c r="I153" s="20"/>
      <c r="J153" s="18">
        <f>SUM(J143:J152)</f>
        <v>0</v>
      </c>
    </row>
    <row r="161" spans="1:10">
      <c r="A161">
        <f>重复匹配率!B182</f>
        <v>0</v>
      </c>
    </row>
    <row r="162" ht="24" spans="1:10">
      <c r="A162" s="13">
        <f>重复匹配率!A185</f>
        <v>0</v>
      </c>
      <c r="B162" s="13">
        <f>重复匹配率!B185</f>
        <v>0</v>
      </c>
      <c r="C162" s="13">
        <f>重复匹配率!C185</f>
        <v>0</v>
      </c>
      <c r="D162" s="13">
        <f>重复匹配率!D185</f>
        <v>0</v>
      </c>
      <c r="E162" s="13">
        <f>重复匹配率!E185</f>
        <v>0</v>
      </c>
      <c r="F162" s="13">
        <f>重复匹配率!F185</f>
        <v>0</v>
      </c>
      <c r="G162" s="13">
        <f>重复匹配率!G185</f>
        <v>0</v>
      </c>
      <c r="H162" s="13">
        <f>重复匹配率!H185</f>
        <v>0</v>
      </c>
      <c r="I162" s="14" t="s">
        <v>32</v>
      </c>
      <c r="J162" s="15" t="s">
        <v>33</v>
      </c>
    </row>
    <row r="163" spans="1:10">
      <c r="A163" s="16">
        <f>重复匹配率!A186</f>
        <v>0</v>
      </c>
      <c r="B163" s="16">
        <f>重复匹配率!B186</f>
        <v>0</v>
      </c>
      <c r="C163" s="16">
        <f>重复匹配率!C186</f>
        <v>0</v>
      </c>
      <c r="D163" s="16">
        <f>重复匹配率!D186</f>
        <v>0</v>
      </c>
      <c r="E163" s="16">
        <f>重复匹配率!E186</f>
        <v>0</v>
      </c>
      <c r="F163" s="16">
        <f>重复匹配率!F186</f>
        <v>0</v>
      </c>
      <c r="G163" s="16">
        <f>重复匹配率!G186</f>
        <v>0</v>
      </c>
      <c r="H163" s="16">
        <f>重复匹配率!H186</f>
        <v>0</v>
      </c>
      <c r="I163" s="17">
        <v>0</v>
      </c>
      <c r="J163" s="18">
        <f t="shared" ref="J163:J172" si="8">E163*I163</f>
        <v>0</v>
      </c>
    </row>
    <row r="164" spans="1:10">
      <c r="A164" s="16">
        <f>重复匹配率!A187</f>
        <v>0</v>
      </c>
      <c r="B164" s="16">
        <f>重复匹配率!B187</f>
        <v>0</v>
      </c>
      <c r="C164" s="16">
        <f>重复匹配率!C187</f>
        <v>0</v>
      </c>
      <c r="D164" s="16">
        <f>重复匹配率!D187</f>
        <v>0</v>
      </c>
      <c r="E164" s="16">
        <f>重复匹配率!E187</f>
        <v>0</v>
      </c>
      <c r="F164" s="16">
        <f>重复匹配率!F187</f>
        <v>0</v>
      </c>
      <c r="G164" s="16">
        <f>重复匹配率!G187</f>
        <v>0</v>
      </c>
      <c r="H164" s="16">
        <f>重复匹配率!H187</f>
        <v>0</v>
      </c>
      <c r="I164" s="17">
        <v>0</v>
      </c>
      <c r="J164" s="18">
        <f t="shared" si="8"/>
        <v>0</v>
      </c>
    </row>
    <row r="165" spans="1:10">
      <c r="A165" s="16">
        <f>重复匹配率!A188</f>
        <v>0</v>
      </c>
      <c r="B165" s="16">
        <f>重复匹配率!B188</f>
        <v>0</v>
      </c>
      <c r="C165" s="16">
        <f>重复匹配率!C188</f>
        <v>0</v>
      </c>
      <c r="D165" s="16">
        <f>重复匹配率!D188</f>
        <v>0</v>
      </c>
      <c r="E165" s="16">
        <f>重复匹配率!E188</f>
        <v>0</v>
      </c>
      <c r="F165" s="16">
        <f>重复匹配率!F188</f>
        <v>0</v>
      </c>
      <c r="G165" s="16">
        <f>重复匹配率!G188</f>
        <v>0</v>
      </c>
      <c r="H165" s="16">
        <f>重复匹配率!H188</f>
        <v>0</v>
      </c>
      <c r="I165" s="17">
        <v>0.1</v>
      </c>
      <c r="J165" s="18">
        <f t="shared" si="8"/>
        <v>0</v>
      </c>
    </row>
    <row r="166" spans="1:10">
      <c r="A166" s="16">
        <f>重复匹配率!A189</f>
        <v>0</v>
      </c>
      <c r="B166" s="16">
        <f>重复匹配率!B189</f>
        <v>0</v>
      </c>
      <c r="C166" s="16">
        <f>重复匹配率!C189</f>
        <v>0</v>
      </c>
      <c r="D166" s="16">
        <f>重复匹配率!D189</f>
        <v>0</v>
      </c>
      <c r="E166" s="16">
        <f>重复匹配率!E189</f>
        <v>0</v>
      </c>
      <c r="F166" s="16">
        <f>重复匹配率!F189</f>
        <v>0</v>
      </c>
      <c r="G166" s="16">
        <f>重复匹配率!G189</f>
        <v>0</v>
      </c>
      <c r="H166" s="16">
        <f>重复匹配率!H189</f>
        <v>0</v>
      </c>
      <c r="I166" s="17">
        <v>0</v>
      </c>
      <c r="J166" s="18">
        <f t="shared" si="8"/>
        <v>0</v>
      </c>
    </row>
    <row r="167" spans="1:10">
      <c r="A167" s="16">
        <f>重复匹配率!A190</f>
        <v>0</v>
      </c>
      <c r="B167" s="16">
        <f>重复匹配率!B190</f>
        <v>0</v>
      </c>
      <c r="C167" s="16">
        <f>重复匹配率!C190</f>
        <v>0</v>
      </c>
      <c r="D167" s="16">
        <f>重复匹配率!D190</f>
        <v>0</v>
      </c>
      <c r="E167" s="16">
        <f>重复匹配率!E190</f>
        <v>0</v>
      </c>
      <c r="F167" s="16">
        <f>重复匹配率!F190</f>
        <v>0</v>
      </c>
      <c r="G167" s="16">
        <f>重复匹配率!G190</f>
        <v>0</v>
      </c>
      <c r="H167" s="16">
        <f>重复匹配率!H190</f>
        <v>0</v>
      </c>
      <c r="I167" s="17">
        <v>0.2</v>
      </c>
      <c r="J167" s="18">
        <f t="shared" si="8"/>
        <v>0</v>
      </c>
    </row>
    <row r="168" spans="1:10">
      <c r="A168" s="16">
        <f>重复匹配率!A191</f>
        <v>0</v>
      </c>
      <c r="B168" s="16">
        <f>重复匹配率!B191</f>
        <v>0</v>
      </c>
      <c r="C168" s="16">
        <f>重复匹配率!C191</f>
        <v>0</v>
      </c>
      <c r="D168" s="16">
        <f>重复匹配率!D191</f>
        <v>0</v>
      </c>
      <c r="E168" s="16">
        <f>重复匹配率!E191</f>
        <v>0</v>
      </c>
      <c r="F168" s="16">
        <f>重复匹配率!F191</f>
        <v>0</v>
      </c>
      <c r="G168" s="16">
        <f>重复匹配率!G191</f>
        <v>0</v>
      </c>
      <c r="H168" s="16">
        <f>重复匹配率!H191</f>
        <v>0</v>
      </c>
      <c r="I168" s="17">
        <v>0.3</v>
      </c>
      <c r="J168" s="18">
        <f t="shared" si="8"/>
        <v>0</v>
      </c>
    </row>
    <row r="169" spans="1:10">
      <c r="A169" s="16">
        <f>重复匹配率!A192</f>
        <v>0</v>
      </c>
      <c r="B169" s="16">
        <f>重复匹配率!B192</f>
        <v>0</v>
      </c>
      <c r="C169" s="16">
        <f>重复匹配率!C192</f>
        <v>0</v>
      </c>
      <c r="D169" s="16">
        <f>重复匹配率!D192</f>
        <v>0</v>
      </c>
      <c r="E169" s="16">
        <f>重复匹配率!E192</f>
        <v>0</v>
      </c>
      <c r="F169" s="16">
        <f>重复匹配率!F192</f>
        <v>0</v>
      </c>
      <c r="G169" s="16">
        <f>重复匹配率!G192</f>
        <v>0</v>
      </c>
      <c r="H169" s="16">
        <f>重复匹配率!H192</f>
        <v>0</v>
      </c>
      <c r="I169" s="17">
        <v>0.5</v>
      </c>
      <c r="J169" s="18">
        <f t="shared" si="8"/>
        <v>0</v>
      </c>
    </row>
    <row r="170" spans="1:10">
      <c r="A170" s="16">
        <f>重复匹配率!A193</f>
        <v>0</v>
      </c>
      <c r="B170" s="16">
        <f>重复匹配率!B193</f>
        <v>0</v>
      </c>
      <c r="C170" s="16">
        <f>重复匹配率!C193</f>
        <v>0</v>
      </c>
      <c r="D170" s="16">
        <f>重复匹配率!D193</f>
        <v>0</v>
      </c>
      <c r="E170" s="16">
        <f>重复匹配率!E193</f>
        <v>0</v>
      </c>
      <c r="F170" s="16">
        <f>重复匹配率!F193</f>
        <v>0</v>
      </c>
      <c r="G170" s="16">
        <f>重复匹配率!G193</f>
        <v>0</v>
      </c>
      <c r="H170" s="16">
        <f>重复匹配率!H193</f>
        <v>0</v>
      </c>
      <c r="I170" s="17">
        <v>0.6</v>
      </c>
      <c r="J170" s="18">
        <f t="shared" si="8"/>
        <v>0</v>
      </c>
    </row>
    <row r="171" spans="1:10">
      <c r="A171" s="16">
        <f>重复匹配率!A194</f>
        <v>0</v>
      </c>
      <c r="B171" s="16">
        <f>重复匹配率!B194</f>
        <v>0</v>
      </c>
      <c r="C171" s="16">
        <f>重复匹配率!C194</f>
        <v>0</v>
      </c>
      <c r="D171" s="16">
        <f>重复匹配率!D194</f>
        <v>0</v>
      </c>
      <c r="E171" s="16">
        <f>重复匹配率!E194</f>
        <v>0</v>
      </c>
      <c r="F171" s="16">
        <f>重复匹配率!F194</f>
        <v>0</v>
      </c>
      <c r="G171" s="16">
        <f>重复匹配率!G194</f>
        <v>0</v>
      </c>
      <c r="H171" s="16">
        <f>重复匹配率!H194</f>
        <v>0</v>
      </c>
      <c r="I171" s="17">
        <v>1</v>
      </c>
      <c r="J171" s="18">
        <f t="shared" si="8"/>
        <v>0</v>
      </c>
    </row>
    <row r="172" spans="1:10">
      <c r="A172" s="16">
        <f>重复匹配率!A195</f>
        <v>0</v>
      </c>
      <c r="B172" s="16">
        <f>重复匹配率!B195</f>
        <v>0</v>
      </c>
      <c r="C172" s="16">
        <f>重复匹配率!C195</f>
        <v>0</v>
      </c>
      <c r="D172" s="16">
        <f>重复匹配率!D195</f>
        <v>0</v>
      </c>
      <c r="E172" s="16">
        <f>重复匹配率!E195</f>
        <v>0</v>
      </c>
      <c r="F172" s="16">
        <f>重复匹配率!F195</f>
        <v>0</v>
      </c>
      <c r="G172" s="16">
        <f>重复匹配率!G195</f>
        <v>0</v>
      </c>
      <c r="H172" s="16">
        <f>重复匹配率!H195</f>
        <v>0</v>
      </c>
      <c r="I172" s="17">
        <v>1</v>
      </c>
      <c r="J172" s="18">
        <f t="shared" si="8"/>
        <v>0</v>
      </c>
    </row>
    <row r="173" spans="1:10">
      <c r="A173" s="19" t="s">
        <v>34</v>
      </c>
      <c r="B173" s="20"/>
      <c r="C173" s="20"/>
      <c r="D173" s="20"/>
      <c r="E173" s="20"/>
      <c r="F173" s="20"/>
      <c r="G173" s="20"/>
      <c r="H173" s="20"/>
      <c r="I173" s="20"/>
      <c r="J173" s="18">
        <f>SUM(J163:J172)</f>
        <v>0</v>
      </c>
    </row>
    <row r="181" spans="1:10">
      <c r="A181">
        <f>重复匹配率!B202</f>
        <v>0</v>
      </c>
    </row>
    <row r="182" ht="24" spans="1:10">
      <c r="A182" s="13">
        <f>重复匹配率!A205</f>
        <v>0</v>
      </c>
      <c r="B182" s="13">
        <f>重复匹配率!B205</f>
        <v>0</v>
      </c>
      <c r="C182" s="13">
        <f>重复匹配率!C205</f>
        <v>0</v>
      </c>
      <c r="D182" s="13">
        <f>重复匹配率!D205</f>
        <v>0</v>
      </c>
      <c r="E182" s="13">
        <f>重复匹配率!E205</f>
        <v>0</v>
      </c>
      <c r="F182" s="13">
        <f>重复匹配率!F205</f>
        <v>0</v>
      </c>
      <c r="G182" s="13">
        <f>重复匹配率!G205</f>
        <v>0</v>
      </c>
      <c r="H182" s="13">
        <f>重复匹配率!H205</f>
        <v>0</v>
      </c>
      <c r="I182" s="14" t="s">
        <v>32</v>
      </c>
      <c r="J182" s="15" t="s">
        <v>33</v>
      </c>
    </row>
    <row r="183" spans="1:10">
      <c r="A183" s="16">
        <f>重复匹配率!A206</f>
        <v>0</v>
      </c>
      <c r="B183" s="16">
        <f>重复匹配率!B206</f>
        <v>0</v>
      </c>
      <c r="C183" s="16">
        <f>重复匹配率!C206</f>
        <v>0</v>
      </c>
      <c r="D183" s="16">
        <f>重复匹配率!D206</f>
        <v>0</v>
      </c>
      <c r="E183" s="16">
        <f>重复匹配率!E206</f>
        <v>0</v>
      </c>
      <c r="F183" s="16">
        <f>重复匹配率!F206</f>
        <v>0</v>
      </c>
      <c r="G183" s="16">
        <f>重复匹配率!G206</f>
        <v>0</v>
      </c>
      <c r="H183" s="16">
        <f>重复匹配率!H206</f>
        <v>0</v>
      </c>
      <c r="I183" s="17">
        <v>0</v>
      </c>
      <c r="J183" s="18">
        <f t="shared" ref="J183:J192" si="9">E183*I183</f>
        <v>0</v>
      </c>
    </row>
    <row r="184" spans="1:10">
      <c r="A184" s="16">
        <f>重复匹配率!A207</f>
        <v>0</v>
      </c>
      <c r="B184" s="16">
        <f>重复匹配率!B207</f>
        <v>0</v>
      </c>
      <c r="C184" s="16">
        <f>重复匹配率!C207</f>
        <v>0</v>
      </c>
      <c r="D184" s="16">
        <f>重复匹配率!D207</f>
        <v>0</v>
      </c>
      <c r="E184" s="16">
        <f>重复匹配率!E207</f>
        <v>0</v>
      </c>
      <c r="F184" s="16">
        <f>重复匹配率!F207</f>
        <v>0</v>
      </c>
      <c r="G184" s="16">
        <f>重复匹配率!G207</f>
        <v>0</v>
      </c>
      <c r="H184" s="16">
        <f>重复匹配率!H207</f>
        <v>0</v>
      </c>
      <c r="I184" s="17">
        <v>0</v>
      </c>
      <c r="J184" s="18">
        <f t="shared" si="9"/>
        <v>0</v>
      </c>
    </row>
    <row r="185" spans="1:10">
      <c r="A185" s="16">
        <f>重复匹配率!A208</f>
        <v>0</v>
      </c>
      <c r="B185" s="16">
        <f>重复匹配率!B208</f>
        <v>0</v>
      </c>
      <c r="C185" s="16">
        <f>重复匹配率!C208</f>
        <v>0</v>
      </c>
      <c r="D185" s="16">
        <f>重复匹配率!D208</f>
        <v>0</v>
      </c>
      <c r="E185" s="16">
        <f>重复匹配率!E208</f>
        <v>0</v>
      </c>
      <c r="F185" s="16">
        <f>重复匹配率!F208</f>
        <v>0</v>
      </c>
      <c r="G185" s="16">
        <f>重复匹配率!G208</f>
        <v>0</v>
      </c>
      <c r="H185" s="16">
        <f>重复匹配率!H208</f>
        <v>0</v>
      </c>
      <c r="I185" s="17">
        <v>0.1</v>
      </c>
      <c r="J185" s="18">
        <f t="shared" si="9"/>
        <v>0</v>
      </c>
    </row>
    <row r="186" spans="1:10">
      <c r="A186" s="16">
        <f>重复匹配率!A209</f>
        <v>0</v>
      </c>
      <c r="B186" s="16">
        <f>重复匹配率!B209</f>
        <v>0</v>
      </c>
      <c r="C186" s="16">
        <f>重复匹配率!C209</f>
        <v>0</v>
      </c>
      <c r="D186" s="16">
        <f>重复匹配率!D209</f>
        <v>0</v>
      </c>
      <c r="E186" s="16">
        <f>重复匹配率!E209</f>
        <v>0</v>
      </c>
      <c r="F186" s="16">
        <f>重复匹配率!F209</f>
        <v>0</v>
      </c>
      <c r="G186" s="16">
        <f>重复匹配率!G209</f>
        <v>0</v>
      </c>
      <c r="H186" s="16">
        <f>重复匹配率!H209</f>
        <v>0</v>
      </c>
      <c r="I186" s="17">
        <v>0</v>
      </c>
      <c r="J186" s="18">
        <f t="shared" si="9"/>
        <v>0</v>
      </c>
    </row>
    <row r="187" spans="1:10">
      <c r="A187" s="16">
        <f>重复匹配率!A210</f>
        <v>0</v>
      </c>
      <c r="B187" s="16">
        <f>重复匹配率!B210</f>
        <v>0</v>
      </c>
      <c r="C187" s="16">
        <f>重复匹配率!C210</f>
        <v>0</v>
      </c>
      <c r="D187" s="16">
        <f>重复匹配率!D210</f>
        <v>0</v>
      </c>
      <c r="E187" s="16">
        <f>重复匹配率!E210</f>
        <v>0</v>
      </c>
      <c r="F187" s="16">
        <f>重复匹配率!F210</f>
        <v>0</v>
      </c>
      <c r="G187" s="16">
        <f>重复匹配率!G210</f>
        <v>0</v>
      </c>
      <c r="H187" s="16">
        <f>重复匹配率!H210</f>
        <v>0</v>
      </c>
      <c r="I187" s="17">
        <v>0.2</v>
      </c>
      <c r="J187" s="18">
        <f t="shared" si="9"/>
        <v>0</v>
      </c>
    </row>
    <row r="188" spans="1:10">
      <c r="A188" s="16">
        <f>重复匹配率!A211</f>
        <v>0</v>
      </c>
      <c r="B188" s="16">
        <f>重复匹配率!B211</f>
        <v>0</v>
      </c>
      <c r="C188" s="16">
        <f>重复匹配率!C211</f>
        <v>0</v>
      </c>
      <c r="D188" s="16">
        <f>重复匹配率!D211</f>
        <v>0</v>
      </c>
      <c r="E188" s="16">
        <f>重复匹配率!E211</f>
        <v>0</v>
      </c>
      <c r="F188" s="16">
        <f>重复匹配率!F211</f>
        <v>0</v>
      </c>
      <c r="G188" s="16">
        <f>重复匹配率!G211</f>
        <v>0</v>
      </c>
      <c r="H188" s="16">
        <f>重复匹配率!H211</f>
        <v>0</v>
      </c>
      <c r="I188" s="17">
        <v>0.3</v>
      </c>
      <c r="J188" s="18">
        <f t="shared" si="9"/>
        <v>0</v>
      </c>
    </row>
    <row r="189" spans="1:10">
      <c r="A189" s="16">
        <f>重复匹配率!A212</f>
        <v>0</v>
      </c>
      <c r="B189" s="16">
        <f>重复匹配率!B212</f>
        <v>0</v>
      </c>
      <c r="C189" s="16">
        <f>重复匹配率!C212</f>
        <v>0</v>
      </c>
      <c r="D189" s="16">
        <f>重复匹配率!D212</f>
        <v>0</v>
      </c>
      <c r="E189" s="16">
        <f>重复匹配率!E212</f>
        <v>0</v>
      </c>
      <c r="F189" s="16">
        <f>重复匹配率!F212</f>
        <v>0</v>
      </c>
      <c r="G189" s="16">
        <f>重复匹配率!G212</f>
        <v>0</v>
      </c>
      <c r="H189" s="16">
        <f>重复匹配率!H212</f>
        <v>0</v>
      </c>
      <c r="I189" s="17">
        <v>0.5</v>
      </c>
      <c r="J189" s="18">
        <f t="shared" si="9"/>
        <v>0</v>
      </c>
    </row>
    <row r="190" spans="1:10">
      <c r="A190" s="16">
        <f>重复匹配率!A213</f>
        <v>0</v>
      </c>
      <c r="B190" s="16">
        <f>重复匹配率!B213</f>
        <v>0</v>
      </c>
      <c r="C190" s="16">
        <f>重复匹配率!C213</f>
        <v>0</v>
      </c>
      <c r="D190" s="16">
        <f>重复匹配率!D213</f>
        <v>0</v>
      </c>
      <c r="E190" s="16">
        <f>重复匹配率!E213</f>
        <v>0</v>
      </c>
      <c r="F190" s="16">
        <f>重复匹配率!F213</f>
        <v>0</v>
      </c>
      <c r="G190" s="16">
        <f>重复匹配率!G213</f>
        <v>0</v>
      </c>
      <c r="H190" s="16">
        <f>重复匹配率!H213</f>
        <v>0</v>
      </c>
      <c r="I190" s="17">
        <v>0.6</v>
      </c>
      <c r="J190" s="18">
        <f t="shared" si="9"/>
        <v>0</v>
      </c>
    </row>
    <row r="191" spans="1:10">
      <c r="A191" s="16">
        <f>重复匹配率!A214</f>
        <v>0</v>
      </c>
      <c r="B191" s="16">
        <f>重复匹配率!B214</f>
        <v>0</v>
      </c>
      <c r="C191" s="16">
        <f>重复匹配率!C214</f>
        <v>0</v>
      </c>
      <c r="D191" s="16">
        <f>重复匹配率!D214</f>
        <v>0</v>
      </c>
      <c r="E191" s="16">
        <f>重复匹配率!E214</f>
        <v>0</v>
      </c>
      <c r="F191" s="16">
        <f>重复匹配率!F214</f>
        <v>0</v>
      </c>
      <c r="G191" s="16">
        <f>重复匹配率!G214</f>
        <v>0</v>
      </c>
      <c r="H191" s="16">
        <f>重复匹配率!H214</f>
        <v>0</v>
      </c>
      <c r="I191" s="17">
        <v>1</v>
      </c>
      <c r="J191" s="18">
        <f t="shared" si="9"/>
        <v>0</v>
      </c>
    </row>
    <row r="192" spans="1:10">
      <c r="A192" s="16">
        <f>重复匹配率!A215</f>
        <v>0</v>
      </c>
      <c r="B192" s="16">
        <f>重复匹配率!B215</f>
        <v>0</v>
      </c>
      <c r="C192" s="16">
        <f>重复匹配率!C215</f>
        <v>0</v>
      </c>
      <c r="D192" s="16">
        <f>重复匹配率!D215</f>
        <v>0</v>
      </c>
      <c r="E192" s="16">
        <f>重复匹配率!E215</f>
        <v>0</v>
      </c>
      <c r="F192" s="16">
        <f>重复匹配率!F215</f>
        <v>0</v>
      </c>
      <c r="G192" s="16">
        <f>重复匹配率!G215</f>
        <v>0</v>
      </c>
      <c r="H192" s="16">
        <f>重复匹配率!H215</f>
        <v>0</v>
      </c>
      <c r="I192" s="17">
        <v>1</v>
      </c>
      <c r="J192" s="18">
        <f t="shared" si="9"/>
        <v>0</v>
      </c>
    </row>
    <row r="193" spans="1:10">
      <c r="A193" s="19" t="s">
        <v>34</v>
      </c>
      <c r="B193" s="20"/>
      <c r="C193" s="20"/>
      <c r="D193" s="20"/>
      <c r="E193" s="20"/>
      <c r="F193" s="20"/>
      <c r="G193" s="20"/>
      <c r="H193" s="20"/>
      <c r="I193" s="20"/>
      <c r="J193" s="18">
        <f>SUM(J183:J192)</f>
        <v>0</v>
      </c>
    </row>
    <row r="201" spans="1:10">
      <c r="A201">
        <f>重复匹配率!B222</f>
        <v>0</v>
      </c>
    </row>
    <row r="202" ht="24" spans="1:10">
      <c r="A202" s="13">
        <f>重复匹配率!A225</f>
        <v>0</v>
      </c>
      <c r="B202" s="13">
        <f>重复匹配率!B225</f>
        <v>0</v>
      </c>
      <c r="C202" s="13">
        <f>重复匹配率!C225</f>
        <v>0</v>
      </c>
      <c r="D202" s="13">
        <f>重复匹配率!D225</f>
        <v>0</v>
      </c>
      <c r="E202" s="13">
        <f>重复匹配率!E225</f>
        <v>0</v>
      </c>
      <c r="F202" s="13">
        <f>重复匹配率!F225</f>
        <v>0</v>
      </c>
      <c r="G202" s="13">
        <f>重复匹配率!G225</f>
        <v>0</v>
      </c>
      <c r="H202" s="13">
        <f>重复匹配率!H225</f>
        <v>0</v>
      </c>
      <c r="I202" s="14" t="s">
        <v>32</v>
      </c>
      <c r="J202" s="15" t="s">
        <v>33</v>
      </c>
    </row>
    <row r="203" spans="1:10">
      <c r="A203" s="16">
        <f>重复匹配率!A226</f>
        <v>0</v>
      </c>
      <c r="B203" s="16">
        <f>重复匹配率!B226</f>
        <v>0</v>
      </c>
      <c r="C203" s="16">
        <f>重复匹配率!C226</f>
        <v>0</v>
      </c>
      <c r="D203" s="16">
        <f>重复匹配率!D226</f>
        <v>0</v>
      </c>
      <c r="E203" s="16">
        <f>重复匹配率!E226</f>
        <v>0</v>
      </c>
      <c r="F203" s="16">
        <f>重复匹配率!F226</f>
        <v>0</v>
      </c>
      <c r="G203" s="16">
        <f>重复匹配率!G226</f>
        <v>0</v>
      </c>
      <c r="H203" s="16">
        <f>重复匹配率!H226</f>
        <v>0</v>
      </c>
      <c r="I203" s="17">
        <v>0</v>
      </c>
      <c r="J203" s="18">
        <f t="shared" ref="J203:J212" si="10">E203*I203</f>
        <v>0</v>
      </c>
    </row>
    <row r="204" spans="1:10">
      <c r="A204" s="16">
        <f>重复匹配率!A227</f>
        <v>0</v>
      </c>
      <c r="B204" s="16">
        <f>重复匹配率!B227</f>
        <v>0</v>
      </c>
      <c r="C204" s="16">
        <f>重复匹配率!C227</f>
        <v>0</v>
      </c>
      <c r="D204" s="16">
        <f>重复匹配率!D227</f>
        <v>0</v>
      </c>
      <c r="E204" s="16">
        <f>重复匹配率!E227</f>
        <v>0</v>
      </c>
      <c r="F204" s="16">
        <f>重复匹配率!F227</f>
        <v>0</v>
      </c>
      <c r="G204" s="16">
        <f>重复匹配率!G227</f>
        <v>0</v>
      </c>
      <c r="H204" s="16">
        <f>重复匹配率!H227</f>
        <v>0</v>
      </c>
      <c r="I204" s="17">
        <v>0</v>
      </c>
      <c r="J204" s="18">
        <f t="shared" si="10"/>
        <v>0</v>
      </c>
    </row>
    <row r="205" spans="1:10">
      <c r="A205" s="16">
        <f>重复匹配率!A228</f>
        <v>0</v>
      </c>
      <c r="B205" s="16">
        <f>重复匹配率!B228</f>
        <v>0</v>
      </c>
      <c r="C205" s="16">
        <f>重复匹配率!C228</f>
        <v>0</v>
      </c>
      <c r="D205" s="16">
        <f>重复匹配率!D228</f>
        <v>0</v>
      </c>
      <c r="E205" s="16">
        <f>重复匹配率!E228</f>
        <v>0</v>
      </c>
      <c r="F205" s="16">
        <f>重复匹配率!F228</f>
        <v>0</v>
      </c>
      <c r="G205" s="16">
        <f>重复匹配率!G228</f>
        <v>0</v>
      </c>
      <c r="H205" s="16">
        <f>重复匹配率!H228</f>
        <v>0</v>
      </c>
      <c r="I205" s="17">
        <v>0.1</v>
      </c>
      <c r="J205" s="18">
        <f t="shared" si="10"/>
        <v>0</v>
      </c>
    </row>
    <row r="206" spans="1:10">
      <c r="A206" s="16">
        <f>重复匹配率!A229</f>
        <v>0</v>
      </c>
      <c r="B206" s="16">
        <f>重复匹配率!B229</f>
        <v>0</v>
      </c>
      <c r="C206" s="16">
        <f>重复匹配率!C229</f>
        <v>0</v>
      </c>
      <c r="D206" s="16">
        <f>重复匹配率!D229</f>
        <v>0</v>
      </c>
      <c r="E206" s="16">
        <f>重复匹配率!E229</f>
        <v>0</v>
      </c>
      <c r="F206" s="16">
        <f>重复匹配率!F229</f>
        <v>0</v>
      </c>
      <c r="G206" s="16">
        <f>重复匹配率!G229</f>
        <v>0</v>
      </c>
      <c r="H206" s="16">
        <f>重复匹配率!H229</f>
        <v>0</v>
      </c>
      <c r="I206" s="17">
        <v>0</v>
      </c>
      <c r="J206" s="18">
        <f t="shared" si="10"/>
        <v>0</v>
      </c>
    </row>
    <row r="207" spans="1:10">
      <c r="A207" s="16">
        <f>重复匹配率!A230</f>
        <v>0</v>
      </c>
      <c r="B207" s="16">
        <f>重复匹配率!B230</f>
        <v>0</v>
      </c>
      <c r="C207" s="16">
        <f>重复匹配率!C230</f>
        <v>0</v>
      </c>
      <c r="D207" s="16">
        <f>重复匹配率!D230</f>
        <v>0</v>
      </c>
      <c r="E207" s="16">
        <f>重复匹配率!E230</f>
        <v>0</v>
      </c>
      <c r="F207" s="16">
        <f>重复匹配率!F230</f>
        <v>0</v>
      </c>
      <c r="G207" s="16">
        <f>重复匹配率!G230</f>
        <v>0</v>
      </c>
      <c r="H207" s="16">
        <f>重复匹配率!H230</f>
        <v>0</v>
      </c>
      <c r="I207" s="17">
        <v>0.2</v>
      </c>
      <c r="J207" s="18">
        <f t="shared" si="10"/>
        <v>0</v>
      </c>
    </row>
    <row r="208" spans="1:10">
      <c r="A208" s="16">
        <f>重复匹配率!A231</f>
        <v>0</v>
      </c>
      <c r="B208" s="16">
        <f>重复匹配率!B231</f>
        <v>0</v>
      </c>
      <c r="C208" s="16">
        <f>重复匹配率!C231</f>
        <v>0</v>
      </c>
      <c r="D208" s="16">
        <f>重复匹配率!D231</f>
        <v>0</v>
      </c>
      <c r="E208" s="16">
        <f>重复匹配率!E231</f>
        <v>0</v>
      </c>
      <c r="F208" s="16">
        <f>重复匹配率!F231</f>
        <v>0</v>
      </c>
      <c r="G208" s="16">
        <f>重复匹配率!G231</f>
        <v>0</v>
      </c>
      <c r="H208" s="16">
        <f>重复匹配率!H231</f>
        <v>0</v>
      </c>
      <c r="I208" s="17">
        <v>0.3</v>
      </c>
      <c r="J208" s="18">
        <f t="shared" si="10"/>
        <v>0</v>
      </c>
    </row>
    <row r="209" spans="1:10">
      <c r="A209" s="16">
        <f>重复匹配率!A232</f>
        <v>0</v>
      </c>
      <c r="B209" s="16">
        <f>重复匹配率!B232</f>
        <v>0</v>
      </c>
      <c r="C209" s="16">
        <f>重复匹配率!C232</f>
        <v>0</v>
      </c>
      <c r="D209" s="16">
        <f>重复匹配率!D232</f>
        <v>0</v>
      </c>
      <c r="E209" s="16">
        <f>重复匹配率!E232</f>
        <v>0</v>
      </c>
      <c r="F209" s="16">
        <f>重复匹配率!F232</f>
        <v>0</v>
      </c>
      <c r="G209" s="16">
        <f>重复匹配率!G232</f>
        <v>0</v>
      </c>
      <c r="H209" s="16">
        <f>重复匹配率!H232</f>
        <v>0</v>
      </c>
      <c r="I209" s="17">
        <v>0.5</v>
      </c>
      <c r="J209" s="18">
        <f t="shared" si="10"/>
        <v>0</v>
      </c>
    </row>
    <row r="210" spans="1:10">
      <c r="A210" s="16">
        <f>重复匹配率!A233</f>
        <v>0</v>
      </c>
      <c r="B210" s="16">
        <f>重复匹配率!B233</f>
        <v>0</v>
      </c>
      <c r="C210" s="16">
        <f>重复匹配率!C233</f>
        <v>0</v>
      </c>
      <c r="D210" s="16">
        <f>重复匹配率!D233</f>
        <v>0</v>
      </c>
      <c r="E210" s="16">
        <f>重复匹配率!E233</f>
        <v>0</v>
      </c>
      <c r="F210" s="16">
        <f>重复匹配率!F233</f>
        <v>0</v>
      </c>
      <c r="G210" s="16">
        <f>重复匹配率!G233</f>
        <v>0</v>
      </c>
      <c r="H210" s="16">
        <f>重复匹配率!H233</f>
        <v>0</v>
      </c>
      <c r="I210" s="17">
        <v>0.6</v>
      </c>
      <c r="J210" s="18">
        <f t="shared" si="10"/>
        <v>0</v>
      </c>
    </row>
    <row r="211" spans="1:10">
      <c r="A211" s="16">
        <f>重复匹配率!A234</f>
        <v>0</v>
      </c>
      <c r="B211" s="16">
        <f>重复匹配率!B234</f>
        <v>0</v>
      </c>
      <c r="C211" s="16">
        <f>重复匹配率!C234</f>
        <v>0</v>
      </c>
      <c r="D211" s="16">
        <f>重复匹配率!D234</f>
        <v>0</v>
      </c>
      <c r="E211" s="16">
        <f>重复匹配率!E234</f>
        <v>0</v>
      </c>
      <c r="F211" s="16">
        <f>重复匹配率!F234</f>
        <v>0</v>
      </c>
      <c r="G211" s="16">
        <f>重复匹配率!G234</f>
        <v>0</v>
      </c>
      <c r="H211" s="16">
        <f>重复匹配率!H234</f>
        <v>0</v>
      </c>
      <c r="I211" s="17">
        <v>1</v>
      </c>
      <c r="J211" s="18">
        <f t="shared" si="10"/>
        <v>0</v>
      </c>
    </row>
    <row r="212" spans="1:10">
      <c r="A212" s="16">
        <f>重复匹配率!A235</f>
        <v>0</v>
      </c>
      <c r="B212" s="16">
        <f>重复匹配率!B235</f>
        <v>0</v>
      </c>
      <c r="C212" s="16">
        <f>重复匹配率!C235</f>
        <v>0</v>
      </c>
      <c r="D212" s="16">
        <f>重复匹配率!D235</f>
        <v>0</v>
      </c>
      <c r="E212" s="16">
        <f>重复匹配率!E235</f>
        <v>0</v>
      </c>
      <c r="F212" s="16">
        <f>重复匹配率!F235</f>
        <v>0</v>
      </c>
      <c r="G212" s="16">
        <f>重复匹配率!G235</f>
        <v>0</v>
      </c>
      <c r="H212" s="16">
        <f>重复匹配率!H235</f>
        <v>0</v>
      </c>
      <c r="I212" s="17">
        <v>1</v>
      </c>
      <c r="J212" s="18">
        <f t="shared" si="10"/>
        <v>0</v>
      </c>
    </row>
    <row r="213" spans="1:10">
      <c r="A213" s="19" t="s">
        <v>34</v>
      </c>
      <c r="B213" s="20"/>
      <c r="C213" s="20"/>
      <c r="D213" s="20"/>
      <c r="E213" s="20"/>
      <c r="F213" s="20"/>
      <c r="G213" s="20"/>
      <c r="H213" s="20"/>
      <c r="I213" s="20"/>
      <c r="J213" s="18">
        <f>SUM(J203:J212)</f>
        <v>0</v>
      </c>
    </row>
    <row r="221" spans="1:10">
      <c r="A221">
        <f>重复匹配率!B242</f>
        <v>0</v>
      </c>
    </row>
    <row r="222" ht="24" spans="1:10">
      <c r="A222" s="13">
        <f>重复匹配率!A245</f>
        <v>0</v>
      </c>
      <c r="B222" s="13">
        <f>重复匹配率!B245</f>
        <v>0</v>
      </c>
      <c r="C222" s="13">
        <f>重复匹配率!C245</f>
        <v>0</v>
      </c>
      <c r="D222" s="13">
        <f>重复匹配率!D245</f>
        <v>0</v>
      </c>
      <c r="E222" s="13">
        <f>重复匹配率!E245</f>
        <v>0</v>
      </c>
      <c r="F222" s="13">
        <f>重复匹配率!F245</f>
        <v>0</v>
      </c>
      <c r="G222" s="13">
        <f>重复匹配率!G245</f>
        <v>0</v>
      </c>
      <c r="H222" s="13">
        <f>重复匹配率!H245</f>
        <v>0</v>
      </c>
      <c r="I222" s="14" t="s">
        <v>32</v>
      </c>
      <c r="J222" s="15" t="s">
        <v>33</v>
      </c>
    </row>
    <row r="223" spans="1:10">
      <c r="A223" s="16">
        <f>重复匹配率!A246</f>
        <v>0</v>
      </c>
      <c r="B223" s="16">
        <f>重复匹配率!B246</f>
        <v>0</v>
      </c>
      <c r="C223" s="16">
        <f>重复匹配率!C246</f>
        <v>0</v>
      </c>
      <c r="D223" s="16">
        <f>重复匹配率!D246</f>
        <v>0</v>
      </c>
      <c r="E223" s="16">
        <f>重复匹配率!E246</f>
        <v>0</v>
      </c>
      <c r="F223" s="16">
        <f>重复匹配率!F246</f>
        <v>0</v>
      </c>
      <c r="G223" s="16">
        <f>重复匹配率!G246</f>
        <v>0</v>
      </c>
      <c r="H223" s="16">
        <f>重复匹配率!H246</f>
        <v>0</v>
      </c>
      <c r="I223" s="17">
        <v>0</v>
      </c>
      <c r="J223" s="18">
        <f t="shared" ref="J223:J232" si="11">E223*I223</f>
        <v>0</v>
      </c>
    </row>
    <row r="224" spans="1:10">
      <c r="A224" s="16">
        <f>重复匹配率!A247</f>
        <v>0</v>
      </c>
      <c r="B224" s="16">
        <f>重复匹配率!B247</f>
        <v>0</v>
      </c>
      <c r="C224" s="16">
        <f>重复匹配率!C247</f>
        <v>0</v>
      </c>
      <c r="D224" s="16">
        <f>重复匹配率!D247</f>
        <v>0</v>
      </c>
      <c r="E224" s="16">
        <f>重复匹配率!E247</f>
        <v>0</v>
      </c>
      <c r="F224" s="16">
        <f>重复匹配率!F247</f>
        <v>0</v>
      </c>
      <c r="G224" s="16">
        <f>重复匹配率!G247</f>
        <v>0</v>
      </c>
      <c r="H224" s="16">
        <f>重复匹配率!H247</f>
        <v>0</v>
      </c>
      <c r="I224" s="17">
        <v>0</v>
      </c>
      <c r="J224" s="18">
        <f t="shared" si="11"/>
        <v>0</v>
      </c>
    </row>
    <row r="225" spans="1:10">
      <c r="A225" s="16">
        <f>重复匹配率!A248</f>
        <v>0</v>
      </c>
      <c r="B225" s="16">
        <f>重复匹配率!B248</f>
        <v>0</v>
      </c>
      <c r="C225" s="16">
        <f>重复匹配率!C248</f>
        <v>0</v>
      </c>
      <c r="D225" s="16">
        <f>重复匹配率!D248</f>
        <v>0</v>
      </c>
      <c r="E225" s="16">
        <f>重复匹配率!E248</f>
        <v>0</v>
      </c>
      <c r="F225" s="16">
        <f>重复匹配率!F248</f>
        <v>0</v>
      </c>
      <c r="G225" s="16">
        <f>重复匹配率!G248</f>
        <v>0</v>
      </c>
      <c r="H225" s="16">
        <f>重复匹配率!H248</f>
        <v>0</v>
      </c>
      <c r="I225" s="17">
        <v>0.1</v>
      </c>
      <c r="J225" s="18">
        <f t="shared" si="11"/>
        <v>0</v>
      </c>
    </row>
    <row r="226" spans="1:10">
      <c r="A226" s="16">
        <f>重复匹配率!A249</f>
        <v>0</v>
      </c>
      <c r="B226" s="16">
        <f>重复匹配率!B249</f>
        <v>0</v>
      </c>
      <c r="C226" s="16">
        <f>重复匹配率!C249</f>
        <v>0</v>
      </c>
      <c r="D226" s="16">
        <f>重复匹配率!D249</f>
        <v>0</v>
      </c>
      <c r="E226" s="16">
        <f>重复匹配率!E249</f>
        <v>0</v>
      </c>
      <c r="F226" s="16">
        <f>重复匹配率!F249</f>
        <v>0</v>
      </c>
      <c r="G226" s="16">
        <f>重复匹配率!G249</f>
        <v>0</v>
      </c>
      <c r="H226" s="16">
        <f>重复匹配率!H249</f>
        <v>0</v>
      </c>
      <c r="I226" s="17">
        <v>0</v>
      </c>
      <c r="J226" s="18">
        <f t="shared" si="11"/>
        <v>0</v>
      </c>
    </row>
    <row r="227" spans="1:10">
      <c r="A227" s="16">
        <f>重复匹配率!A250</f>
        <v>0</v>
      </c>
      <c r="B227" s="16">
        <f>重复匹配率!B250</f>
        <v>0</v>
      </c>
      <c r="C227" s="16">
        <f>重复匹配率!C250</f>
        <v>0</v>
      </c>
      <c r="D227" s="16">
        <f>重复匹配率!D250</f>
        <v>0</v>
      </c>
      <c r="E227" s="16">
        <f>重复匹配率!E250</f>
        <v>0</v>
      </c>
      <c r="F227" s="16">
        <f>重复匹配率!F250</f>
        <v>0</v>
      </c>
      <c r="G227" s="16">
        <f>重复匹配率!G250</f>
        <v>0</v>
      </c>
      <c r="H227" s="16">
        <f>重复匹配率!H250</f>
        <v>0</v>
      </c>
      <c r="I227" s="17">
        <v>0.2</v>
      </c>
      <c r="J227" s="18">
        <f t="shared" si="11"/>
        <v>0</v>
      </c>
    </row>
    <row r="228" spans="1:10">
      <c r="A228" s="16">
        <f>重复匹配率!A251</f>
        <v>0</v>
      </c>
      <c r="B228" s="16">
        <f>重复匹配率!B251</f>
        <v>0</v>
      </c>
      <c r="C228" s="16">
        <f>重复匹配率!C251</f>
        <v>0</v>
      </c>
      <c r="D228" s="16">
        <f>重复匹配率!D251</f>
        <v>0</v>
      </c>
      <c r="E228" s="16">
        <f>重复匹配率!E251</f>
        <v>0</v>
      </c>
      <c r="F228" s="16">
        <f>重复匹配率!F251</f>
        <v>0</v>
      </c>
      <c r="G228" s="16">
        <f>重复匹配率!G251</f>
        <v>0</v>
      </c>
      <c r="H228" s="16">
        <f>重复匹配率!H251</f>
        <v>0</v>
      </c>
      <c r="I228" s="17">
        <v>0.3</v>
      </c>
      <c r="J228" s="18">
        <f t="shared" si="11"/>
        <v>0</v>
      </c>
    </row>
    <row r="229" spans="1:10">
      <c r="A229" s="16">
        <f>重复匹配率!A252</f>
        <v>0</v>
      </c>
      <c r="B229" s="16">
        <f>重复匹配率!B252</f>
        <v>0</v>
      </c>
      <c r="C229" s="16">
        <f>重复匹配率!C252</f>
        <v>0</v>
      </c>
      <c r="D229" s="16">
        <f>重复匹配率!D252</f>
        <v>0</v>
      </c>
      <c r="E229" s="16">
        <f>重复匹配率!E252</f>
        <v>0</v>
      </c>
      <c r="F229" s="16">
        <f>重复匹配率!F252</f>
        <v>0</v>
      </c>
      <c r="G229" s="16">
        <f>重复匹配率!G252</f>
        <v>0</v>
      </c>
      <c r="H229" s="16">
        <f>重复匹配率!H252</f>
        <v>0</v>
      </c>
      <c r="I229" s="17">
        <v>0.5</v>
      </c>
      <c r="J229" s="18">
        <f t="shared" si="11"/>
        <v>0</v>
      </c>
    </row>
    <row r="230" spans="1:10">
      <c r="A230" s="16">
        <f>重复匹配率!A253</f>
        <v>0</v>
      </c>
      <c r="B230" s="16">
        <f>重复匹配率!B253</f>
        <v>0</v>
      </c>
      <c r="C230" s="16">
        <f>重复匹配率!C253</f>
        <v>0</v>
      </c>
      <c r="D230" s="16">
        <f>重复匹配率!D253</f>
        <v>0</v>
      </c>
      <c r="E230" s="16">
        <f>重复匹配率!E253</f>
        <v>0</v>
      </c>
      <c r="F230" s="16">
        <f>重复匹配率!F253</f>
        <v>0</v>
      </c>
      <c r="G230" s="16">
        <f>重复匹配率!G253</f>
        <v>0</v>
      </c>
      <c r="H230" s="16">
        <f>重复匹配率!H253</f>
        <v>0</v>
      </c>
      <c r="I230" s="17">
        <v>0.6</v>
      </c>
      <c r="J230" s="18">
        <f t="shared" si="11"/>
        <v>0</v>
      </c>
    </row>
    <row r="231" spans="1:10">
      <c r="A231" s="16">
        <f>重复匹配率!A254</f>
        <v>0</v>
      </c>
      <c r="B231" s="16">
        <f>重复匹配率!B254</f>
        <v>0</v>
      </c>
      <c r="C231" s="16">
        <f>重复匹配率!C254</f>
        <v>0</v>
      </c>
      <c r="D231" s="16">
        <f>重复匹配率!D254</f>
        <v>0</v>
      </c>
      <c r="E231" s="16">
        <f>重复匹配率!E254</f>
        <v>0</v>
      </c>
      <c r="F231" s="16">
        <f>重复匹配率!F254</f>
        <v>0</v>
      </c>
      <c r="G231" s="16">
        <f>重复匹配率!G254</f>
        <v>0</v>
      </c>
      <c r="H231" s="16">
        <f>重复匹配率!H254</f>
        <v>0</v>
      </c>
      <c r="I231" s="17">
        <v>1</v>
      </c>
      <c r="J231" s="18">
        <f t="shared" si="11"/>
        <v>0</v>
      </c>
    </row>
    <row r="232" spans="1:10">
      <c r="A232" s="16">
        <f>重复匹配率!A255</f>
        <v>0</v>
      </c>
      <c r="B232" s="16">
        <f>重复匹配率!B255</f>
        <v>0</v>
      </c>
      <c r="C232" s="16">
        <f>重复匹配率!C255</f>
        <v>0</v>
      </c>
      <c r="D232" s="16">
        <f>重复匹配率!D255</f>
        <v>0</v>
      </c>
      <c r="E232" s="16">
        <f>重复匹配率!E255</f>
        <v>0</v>
      </c>
      <c r="F232" s="16">
        <f>重复匹配率!F255</f>
        <v>0</v>
      </c>
      <c r="G232" s="16">
        <f>重复匹配率!G255</f>
        <v>0</v>
      </c>
      <c r="H232" s="16">
        <f>重复匹配率!H255</f>
        <v>0</v>
      </c>
      <c r="I232" s="17">
        <v>1</v>
      </c>
      <c r="J232" s="18">
        <f t="shared" si="11"/>
        <v>0</v>
      </c>
    </row>
    <row r="233" spans="1:10">
      <c r="A233" s="19" t="s">
        <v>34</v>
      </c>
      <c r="B233" s="20"/>
      <c r="C233" s="20"/>
      <c r="D233" s="20"/>
      <c r="E233" s="20"/>
      <c r="F233" s="20"/>
      <c r="G233" s="20"/>
      <c r="H233" s="20"/>
      <c r="I233" s="20"/>
      <c r="J233" s="18">
        <f>SUM(J223:J232)</f>
        <v>0</v>
      </c>
    </row>
    <row r="241" spans="1:10">
      <c r="A241">
        <f>重复匹配率!B262</f>
        <v>0</v>
      </c>
    </row>
    <row r="242" ht="24" spans="1:10">
      <c r="A242" s="13">
        <f>重复匹配率!A265</f>
        <v>0</v>
      </c>
      <c r="B242" s="13">
        <f>重复匹配率!B265</f>
        <v>0</v>
      </c>
      <c r="C242" s="13">
        <f>重复匹配率!C265</f>
        <v>0</v>
      </c>
      <c r="D242" s="13">
        <f>重复匹配率!D265</f>
        <v>0</v>
      </c>
      <c r="E242" s="13">
        <f>重复匹配率!E265</f>
        <v>0</v>
      </c>
      <c r="F242" s="13">
        <f>重复匹配率!F265</f>
        <v>0</v>
      </c>
      <c r="G242" s="13">
        <f>重复匹配率!G265</f>
        <v>0</v>
      </c>
      <c r="H242" s="13">
        <f>重复匹配率!H265</f>
        <v>0</v>
      </c>
      <c r="I242" s="14" t="s">
        <v>32</v>
      </c>
      <c r="J242" s="15" t="s">
        <v>33</v>
      </c>
    </row>
    <row r="243" spans="1:10">
      <c r="A243" s="16">
        <f>重复匹配率!A266</f>
        <v>0</v>
      </c>
      <c r="B243" s="16">
        <f>重复匹配率!B266</f>
        <v>0</v>
      </c>
      <c r="C243" s="16">
        <f>重复匹配率!C266</f>
        <v>0</v>
      </c>
      <c r="D243" s="16">
        <f>重复匹配率!D266</f>
        <v>0</v>
      </c>
      <c r="E243" s="16">
        <f>重复匹配率!E266</f>
        <v>0</v>
      </c>
      <c r="F243" s="16">
        <f>重复匹配率!F266</f>
        <v>0</v>
      </c>
      <c r="G243" s="16">
        <f>重复匹配率!G266</f>
        <v>0</v>
      </c>
      <c r="H243" s="16">
        <f>重复匹配率!H266</f>
        <v>0</v>
      </c>
      <c r="I243" s="17">
        <v>0</v>
      </c>
      <c r="J243" s="18">
        <f t="shared" ref="J243:J252" si="12">E243*I243</f>
        <v>0</v>
      </c>
    </row>
    <row r="244" spans="1:10">
      <c r="A244" s="16">
        <f>重复匹配率!A267</f>
        <v>0</v>
      </c>
      <c r="B244" s="16">
        <f>重复匹配率!B267</f>
        <v>0</v>
      </c>
      <c r="C244" s="16">
        <f>重复匹配率!C267</f>
        <v>0</v>
      </c>
      <c r="D244" s="16">
        <f>重复匹配率!D267</f>
        <v>0</v>
      </c>
      <c r="E244" s="16">
        <f>重复匹配率!E267</f>
        <v>0</v>
      </c>
      <c r="F244" s="16">
        <f>重复匹配率!F267</f>
        <v>0</v>
      </c>
      <c r="G244" s="16">
        <f>重复匹配率!G267</f>
        <v>0</v>
      </c>
      <c r="H244" s="16">
        <f>重复匹配率!H267</f>
        <v>0</v>
      </c>
      <c r="I244" s="17">
        <v>0</v>
      </c>
      <c r="J244" s="18">
        <f t="shared" si="12"/>
        <v>0</v>
      </c>
    </row>
    <row r="245" spans="1:10">
      <c r="A245" s="16">
        <f>重复匹配率!A268</f>
        <v>0</v>
      </c>
      <c r="B245" s="16">
        <f>重复匹配率!B268</f>
        <v>0</v>
      </c>
      <c r="C245" s="16">
        <f>重复匹配率!C268</f>
        <v>0</v>
      </c>
      <c r="D245" s="16">
        <f>重复匹配率!D268</f>
        <v>0</v>
      </c>
      <c r="E245" s="16">
        <f>重复匹配率!E268</f>
        <v>0</v>
      </c>
      <c r="F245" s="16">
        <f>重复匹配率!F268</f>
        <v>0</v>
      </c>
      <c r="G245" s="16">
        <f>重复匹配率!G268</f>
        <v>0</v>
      </c>
      <c r="H245" s="16">
        <f>重复匹配率!H268</f>
        <v>0</v>
      </c>
      <c r="I245" s="17">
        <v>0.1</v>
      </c>
      <c r="J245" s="18">
        <f t="shared" si="12"/>
        <v>0</v>
      </c>
    </row>
    <row r="246" spans="1:10">
      <c r="A246" s="16">
        <f>重复匹配率!A269</f>
        <v>0</v>
      </c>
      <c r="B246" s="16">
        <f>重复匹配率!B269</f>
        <v>0</v>
      </c>
      <c r="C246" s="16">
        <f>重复匹配率!C269</f>
        <v>0</v>
      </c>
      <c r="D246" s="16">
        <f>重复匹配率!D269</f>
        <v>0</v>
      </c>
      <c r="E246" s="16">
        <f>重复匹配率!E269</f>
        <v>0</v>
      </c>
      <c r="F246" s="16">
        <f>重复匹配率!F269</f>
        <v>0</v>
      </c>
      <c r="G246" s="16">
        <f>重复匹配率!G269</f>
        <v>0</v>
      </c>
      <c r="H246" s="16">
        <f>重复匹配率!H269</f>
        <v>0</v>
      </c>
      <c r="I246" s="17">
        <v>0</v>
      </c>
      <c r="J246" s="18">
        <f t="shared" si="12"/>
        <v>0</v>
      </c>
    </row>
    <row r="247" spans="1:10">
      <c r="A247" s="16">
        <f>重复匹配率!A270</f>
        <v>0</v>
      </c>
      <c r="B247" s="16">
        <f>重复匹配率!B270</f>
        <v>0</v>
      </c>
      <c r="C247" s="16">
        <f>重复匹配率!C270</f>
        <v>0</v>
      </c>
      <c r="D247" s="16">
        <f>重复匹配率!D270</f>
        <v>0</v>
      </c>
      <c r="E247" s="16">
        <f>重复匹配率!E270</f>
        <v>0</v>
      </c>
      <c r="F247" s="16">
        <f>重复匹配率!F270</f>
        <v>0</v>
      </c>
      <c r="G247" s="16">
        <f>重复匹配率!G270</f>
        <v>0</v>
      </c>
      <c r="H247" s="16">
        <f>重复匹配率!H270</f>
        <v>0</v>
      </c>
      <c r="I247" s="17">
        <v>0.2</v>
      </c>
      <c r="J247" s="18">
        <f t="shared" si="12"/>
        <v>0</v>
      </c>
    </row>
    <row r="248" spans="1:10">
      <c r="A248" s="16">
        <f>重复匹配率!A271</f>
        <v>0</v>
      </c>
      <c r="B248" s="16">
        <f>重复匹配率!B271</f>
        <v>0</v>
      </c>
      <c r="C248" s="16">
        <f>重复匹配率!C271</f>
        <v>0</v>
      </c>
      <c r="D248" s="16">
        <f>重复匹配率!D271</f>
        <v>0</v>
      </c>
      <c r="E248" s="16">
        <f>重复匹配率!E271</f>
        <v>0</v>
      </c>
      <c r="F248" s="16">
        <f>重复匹配率!F271</f>
        <v>0</v>
      </c>
      <c r="G248" s="16">
        <f>重复匹配率!G271</f>
        <v>0</v>
      </c>
      <c r="H248" s="16">
        <f>重复匹配率!H271</f>
        <v>0</v>
      </c>
      <c r="I248" s="17">
        <v>0.3</v>
      </c>
      <c r="J248" s="18">
        <f t="shared" si="12"/>
        <v>0</v>
      </c>
    </row>
    <row r="249" spans="1:10">
      <c r="A249" s="16">
        <f>重复匹配率!A272</f>
        <v>0</v>
      </c>
      <c r="B249" s="16">
        <f>重复匹配率!B272</f>
        <v>0</v>
      </c>
      <c r="C249" s="16">
        <f>重复匹配率!C272</f>
        <v>0</v>
      </c>
      <c r="D249" s="16">
        <f>重复匹配率!D272</f>
        <v>0</v>
      </c>
      <c r="E249" s="16">
        <f>重复匹配率!E272</f>
        <v>0</v>
      </c>
      <c r="F249" s="16">
        <f>重复匹配率!F272</f>
        <v>0</v>
      </c>
      <c r="G249" s="16">
        <f>重复匹配率!G272</f>
        <v>0</v>
      </c>
      <c r="H249" s="16">
        <f>重复匹配率!H272</f>
        <v>0</v>
      </c>
      <c r="I249" s="17">
        <v>0.5</v>
      </c>
      <c r="J249" s="18">
        <f t="shared" si="12"/>
        <v>0</v>
      </c>
    </row>
    <row r="250" spans="1:10">
      <c r="A250" s="16">
        <f>重复匹配率!A273</f>
        <v>0</v>
      </c>
      <c r="B250" s="16">
        <f>重复匹配率!B273</f>
        <v>0</v>
      </c>
      <c r="C250" s="16">
        <f>重复匹配率!C273</f>
        <v>0</v>
      </c>
      <c r="D250" s="16">
        <f>重复匹配率!D273</f>
        <v>0</v>
      </c>
      <c r="E250" s="16">
        <f>重复匹配率!E273</f>
        <v>0</v>
      </c>
      <c r="F250" s="16">
        <f>重复匹配率!F273</f>
        <v>0</v>
      </c>
      <c r="G250" s="16">
        <f>重复匹配率!G273</f>
        <v>0</v>
      </c>
      <c r="H250" s="16">
        <f>重复匹配率!H273</f>
        <v>0</v>
      </c>
      <c r="I250" s="17">
        <v>0.6</v>
      </c>
      <c r="J250" s="18">
        <f t="shared" si="12"/>
        <v>0</v>
      </c>
    </row>
    <row r="251" spans="1:10">
      <c r="A251" s="16">
        <f>重复匹配率!A274</f>
        <v>0</v>
      </c>
      <c r="B251" s="16">
        <f>重复匹配率!B274</f>
        <v>0</v>
      </c>
      <c r="C251" s="16">
        <f>重复匹配率!C274</f>
        <v>0</v>
      </c>
      <c r="D251" s="16">
        <f>重复匹配率!D274</f>
        <v>0</v>
      </c>
      <c r="E251" s="16">
        <f>重复匹配率!E274</f>
        <v>0</v>
      </c>
      <c r="F251" s="16">
        <f>重复匹配率!F274</f>
        <v>0</v>
      </c>
      <c r="G251" s="16">
        <f>重复匹配率!G274</f>
        <v>0</v>
      </c>
      <c r="H251" s="16">
        <f>重复匹配率!H274</f>
        <v>0</v>
      </c>
      <c r="I251" s="17">
        <v>1</v>
      </c>
      <c r="J251" s="18">
        <f t="shared" si="12"/>
        <v>0</v>
      </c>
    </row>
    <row r="252" spans="1:10">
      <c r="A252" s="16">
        <f>重复匹配率!A275</f>
        <v>0</v>
      </c>
      <c r="B252" s="16">
        <f>重复匹配率!B275</f>
        <v>0</v>
      </c>
      <c r="C252" s="16">
        <f>重复匹配率!C275</f>
        <v>0</v>
      </c>
      <c r="D252" s="16">
        <f>重复匹配率!D275</f>
        <v>0</v>
      </c>
      <c r="E252" s="16">
        <f>重复匹配率!E275</f>
        <v>0</v>
      </c>
      <c r="F252" s="16">
        <f>重复匹配率!F275</f>
        <v>0</v>
      </c>
      <c r="G252" s="16">
        <f>重复匹配率!G275</f>
        <v>0</v>
      </c>
      <c r="H252" s="16">
        <f>重复匹配率!H275</f>
        <v>0</v>
      </c>
      <c r="I252" s="17">
        <v>1</v>
      </c>
      <c r="J252" s="18">
        <f t="shared" si="12"/>
        <v>0</v>
      </c>
    </row>
    <row r="253" spans="1:10">
      <c r="A253" s="19" t="s">
        <v>34</v>
      </c>
      <c r="B253" s="20"/>
      <c r="C253" s="20"/>
      <c r="D253" s="20"/>
      <c r="E253" s="20"/>
      <c r="F253" s="20"/>
      <c r="G253" s="20"/>
      <c r="H253" s="20"/>
      <c r="I253" s="20"/>
      <c r="J253" s="18">
        <f>SUM(J243:J252)</f>
        <v>0</v>
      </c>
    </row>
    <row r="261" spans="1:10">
      <c r="A261">
        <f>重复匹配率!B282</f>
        <v>0</v>
      </c>
    </row>
    <row r="262" ht="24" spans="1:10">
      <c r="A262" s="13">
        <f>重复匹配率!A285</f>
        <v>0</v>
      </c>
      <c r="B262" s="13">
        <f>重复匹配率!B285</f>
        <v>0</v>
      </c>
      <c r="C262" s="13">
        <f>重复匹配率!C285</f>
        <v>0</v>
      </c>
      <c r="D262" s="13">
        <f>重复匹配率!D285</f>
        <v>0</v>
      </c>
      <c r="E262" s="13">
        <f>重复匹配率!E285</f>
        <v>0</v>
      </c>
      <c r="F262" s="13">
        <f>重复匹配率!F285</f>
        <v>0</v>
      </c>
      <c r="G262" s="13">
        <f>重复匹配率!G285</f>
        <v>0</v>
      </c>
      <c r="H262" s="13">
        <f>重复匹配率!H285</f>
        <v>0</v>
      </c>
      <c r="I262" s="14" t="s">
        <v>32</v>
      </c>
      <c r="J262" s="15" t="s">
        <v>33</v>
      </c>
    </row>
    <row r="263" spans="1:10">
      <c r="A263" s="16">
        <f>重复匹配率!A286</f>
        <v>0</v>
      </c>
      <c r="B263" s="16">
        <f>重复匹配率!B286</f>
        <v>0</v>
      </c>
      <c r="C263" s="16">
        <f>重复匹配率!C286</f>
        <v>0</v>
      </c>
      <c r="D263" s="16">
        <f>重复匹配率!D286</f>
        <v>0</v>
      </c>
      <c r="E263" s="16">
        <f>重复匹配率!E286</f>
        <v>0</v>
      </c>
      <c r="F263" s="16">
        <f>重复匹配率!F286</f>
        <v>0</v>
      </c>
      <c r="G263" s="16">
        <f>重复匹配率!G286</f>
        <v>0</v>
      </c>
      <c r="H263" s="16">
        <f>重复匹配率!H286</f>
        <v>0</v>
      </c>
      <c r="I263" s="17">
        <v>0</v>
      </c>
      <c r="J263" s="18">
        <f t="shared" ref="J263:J272" si="13">E263*I263</f>
        <v>0</v>
      </c>
    </row>
    <row r="264" spans="1:10">
      <c r="A264" s="16">
        <f>重复匹配率!A287</f>
        <v>0</v>
      </c>
      <c r="B264" s="16">
        <f>重复匹配率!B287</f>
        <v>0</v>
      </c>
      <c r="C264" s="16">
        <f>重复匹配率!C287</f>
        <v>0</v>
      </c>
      <c r="D264" s="16">
        <f>重复匹配率!D287</f>
        <v>0</v>
      </c>
      <c r="E264" s="16">
        <f>重复匹配率!E287</f>
        <v>0</v>
      </c>
      <c r="F264" s="16">
        <f>重复匹配率!F287</f>
        <v>0</v>
      </c>
      <c r="G264" s="16">
        <f>重复匹配率!G287</f>
        <v>0</v>
      </c>
      <c r="H264" s="16">
        <f>重复匹配率!H287</f>
        <v>0</v>
      </c>
      <c r="I264" s="17">
        <v>0</v>
      </c>
      <c r="J264" s="18">
        <f t="shared" si="13"/>
        <v>0</v>
      </c>
    </row>
    <row r="265" spans="1:10">
      <c r="A265" s="16">
        <f>重复匹配率!A288</f>
        <v>0</v>
      </c>
      <c r="B265" s="16">
        <f>重复匹配率!B288</f>
        <v>0</v>
      </c>
      <c r="C265" s="16">
        <f>重复匹配率!C288</f>
        <v>0</v>
      </c>
      <c r="D265" s="16">
        <f>重复匹配率!D288</f>
        <v>0</v>
      </c>
      <c r="E265" s="16">
        <f>重复匹配率!E288</f>
        <v>0</v>
      </c>
      <c r="F265" s="16">
        <f>重复匹配率!F288</f>
        <v>0</v>
      </c>
      <c r="G265" s="16">
        <f>重复匹配率!G288</f>
        <v>0</v>
      </c>
      <c r="H265" s="16">
        <f>重复匹配率!H288</f>
        <v>0</v>
      </c>
      <c r="I265" s="17">
        <v>0.1</v>
      </c>
      <c r="J265" s="18">
        <f t="shared" si="13"/>
        <v>0</v>
      </c>
    </row>
    <row r="266" spans="1:10">
      <c r="A266" s="16">
        <f>重复匹配率!A289</f>
        <v>0</v>
      </c>
      <c r="B266" s="16">
        <f>重复匹配率!B289</f>
        <v>0</v>
      </c>
      <c r="C266" s="16">
        <f>重复匹配率!C289</f>
        <v>0</v>
      </c>
      <c r="D266" s="16">
        <f>重复匹配率!D289</f>
        <v>0</v>
      </c>
      <c r="E266" s="16">
        <f>重复匹配率!E289</f>
        <v>0</v>
      </c>
      <c r="F266" s="16">
        <f>重复匹配率!F289</f>
        <v>0</v>
      </c>
      <c r="G266" s="16">
        <f>重复匹配率!G289</f>
        <v>0</v>
      </c>
      <c r="H266" s="16">
        <f>重复匹配率!H289</f>
        <v>0</v>
      </c>
      <c r="I266" s="17">
        <v>0</v>
      </c>
      <c r="J266" s="18">
        <f t="shared" si="13"/>
        <v>0</v>
      </c>
    </row>
    <row r="267" spans="1:10">
      <c r="A267" s="16">
        <f>重复匹配率!A290</f>
        <v>0</v>
      </c>
      <c r="B267" s="16">
        <f>重复匹配率!B290</f>
        <v>0</v>
      </c>
      <c r="C267" s="16">
        <f>重复匹配率!C290</f>
        <v>0</v>
      </c>
      <c r="D267" s="16">
        <f>重复匹配率!D290</f>
        <v>0</v>
      </c>
      <c r="E267" s="16">
        <f>重复匹配率!E290</f>
        <v>0</v>
      </c>
      <c r="F267" s="16">
        <f>重复匹配率!F290</f>
        <v>0</v>
      </c>
      <c r="G267" s="16">
        <f>重复匹配率!G290</f>
        <v>0</v>
      </c>
      <c r="H267" s="16">
        <f>重复匹配率!H290</f>
        <v>0</v>
      </c>
      <c r="I267" s="17">
        <v>0.2</v>
      </c>
      <c r="J267" s="18">
        <f t="shared" si="13"/>
        <v>0</v>
      </c>
    </row>
    <row r="268" spans="1:10">
      <c r="A268" s="16">
        <f>重复匹配率!A291</f>
        <v>0</v>
      </c>
      <c r="B268" s="16">
        <f>重复匹配率!B291</f>
        <v>0</v>
      </c>
      <c r="C268" s="16">
        <f>重复匹配率!C291</f>
        <v>0</v>
      </c>
      <c r="D268" s="16">
        <f>重复匹配率!D291</f>
        <v>0</v>
      </c>
      <c r="E268" s="16">
        <f>重复匹配率!E291</f>
        <v>0</v>
      </c>
      <c r="F268" s="16">
        <f>重复匹配率!F291</f>
        <v>0</v>
      </c>
      <c r="G268" s="16">
        <f>重复匹配率!G291</f>
        <v>0</v>
      </c>
      <c r="H268" s="16">
        <f>重复匹配率!H291</f>
        <v>0</v>
      </c>
      <c r="I268" s="17">
        <v>0.3</v>
      </c>
      <c r="J268" s="18">
        <f t="shared" si="13"/>
        <v>0</v>
      </c>
    </row>
    <row r="269" spans="1:10">
      <c r="A269" s="16">
        <f>重复匹配率!A292</f>
        <v>0</v>
      </c>
      <c r="B269" s="16">
        <f>重复匹配率!B292</f>
        <v>0</v>
      </c>
      <c r="C269" s="16">
        <f>重复匹配率!C292</f>
        <v>0</v>
      </c>
      <c r="D269" s="16">
        <f>重复匹配率!D292</f>
        <v>0</v>
      </c>
      <c r="E269" s="16">
        <f>重复匹配率!E292</f>
        <v>0</v>
      </c>
      <c r="F269" s="16">
        <f>重复匹配率!F292</f>
        <v>0</v>
      </c>
      <c r="G269" s="16">
        <f>重复匹配率!G292</f>
        <v>0</v>
      </c>
      <c r="H269" s="16">
        <f>重复匹配率!H292</f>
        <v>0</v>
      </c>
      <c r="I269" s="17">
        <v>0.5</v>
      </c>
      <c r="J269" s="18">
        <f t="shared" si="13"/>
        <v>0</v>
      </c>
    </row>
    <row r="270" spans="1:10">
      <c r="A270" s="16">
        <f>重复匹配率!A293</f>
        <v>0</v>
      </c>
      <c r="B270" s="16">
        <f>重复匹配率!B293</f>
        <v>0</v>
      </c>
      <c r="C270" s="16">
        <f>重复匹配率!C293</f>
        <v>0</v>
      </c>
      <c r="D270" s="16">
        <f>重复匹配率!D293</f>
        <v>0</v>
      </c>
      <c r="E270" s="16">
        <f>重复匹配率!E293</f>
        <v>0</v>
      </c>
      <c r="F270" s="16">
        <f>重复匹配率!F293</f>
        <v>0</v>
      </c>
      <c r="G270" s="16">
        <f>重复匹配率!G293</f>
        <v>0</v>
      </c>
      <c r="H270" s="16">
        <f>重复匹配率!H293</f>
        <v>0</v>
      </c>
      <c r="I270" s="17">
        <v>0.6</v>
      </c>
      <c r="J270" s="18">
        <f t="shared" si="13"/>
        <v>0</v>
      </c>
    </row>
    <row r="271" spans="1:10">
      <c r="A271" s="16">
        <f>重复匹配率!A294</f>
        <v>0</v>
      </c>
      <c r="B271" s="16">
        <f>重复匹配率!B294</f>
        <v>0</v>
      </c>
      <c r="C271" s="16">
        <f>重复匹配率!C294</f>
        <v>0</v>
      </c>
      <c r="D271" s="16">
        <f>重复匹配率!D294</f>
        <v>0</v>
      </c>
      <c r="E271" s="16">
        <f>重复匹配率!E294</f>
        <v>0</v>
      </c>
      <c r="F271" s="16">
        <f>重复匹配率!F294</f>
        <v>0</v>
      </c>
      <c r="G271" s="16">
        <f>重复匹配率!G294</f>
        <v>0</v>
      </c>
      <c r="H271" s="16">
        <f>重复匹配率!H294</f>
        <v>0</v>
      </c>
      <c r="I271" s="17">
        <v>1</v>
      </c>
      <c r="J271" s="18">
        <f t="shared" si="13"/>
        <v>0</v>
      </c>
    </row>
    <row r="272" spans="1:10">
      <c r="A272" s="16">
        <f>重复匹配率!A295</f>
        <v>0</v>
      </c>
      <c r="B272" s="16">
        <f>重复匹配率!B295</f>
        <v>0</v>
      </c>
      <c r="C272" s="16">
        <f>重复匹配率!C295</f>
        <v>0</v>
      </c>
      <c r="D272" s="16">
        <f>重复匹配率!D295</f>
        <v>0</v>
      </c>
      <c r="E272" s="16">
        <f>重复匹配率!E295</f>
        <v>0</v>
      </c>
      <c r="F272" s="16">
        <f>重复匹配率!F295</f>
        <v>0</v>
      </c>
      <c r="G272" s="16">
        <f>重复匹配率!G295</f>
        <v>0</v>
      </c>
      <c r="H272" s="16">
        <f>重复匹配率!H295</f>
        <v>0</v>
      </c>
      <c r="I272" s="17">
        <v>1</v>
      </c>
      <c r="J272" s="18">
        <f t="shared" si="13"/>
        <v>0</v>
      </c>
    </row>
    <row r="273" spans="1:10">
      <c r="A273" s="19" t="s">
        <v>34</v>
      </c>
      <c r="B273" s="20"/>
      <c r="C273" s="20"/>
      <c r="D273" s="20"/>
      <c r="E273" s="20"/>
      <c r="F273" s="20"/>
      <c r="G273" s="20"/>
      <c r="H273" s="20"/>
      <c r="I273" s="20"/>
      <c r="J273" s="18">
        <f>SUM(J263:J272)</f>
        <v>0</v>
      </c>
    </row>
    <row r="281" spans="1:10">
      <c r="A281">
        <f>重复匹配率!B302</f>
        <v>0</v>
      </c>
    </row>
    <row r="282" ht="24" spans="1:10">
      <c r="A282" s="13">
        <f>重复匹配率!A305</f>
        <v>0</v>
      </c>
      <c r="B282" s="13">
        <f>重复匹配率!B305</f>
        <v>0</v>
      </c>
      <c r="C282" s="13">
        <f>重复匹配率!C305</f>
        <v>0</v>
      </c>
      <c r="D282" s="13">
        <f>重复匹配率!D305</f>
        <v>0</v>
      </c>
      <c r="E282" s="13">
        <f>重复匹配率!E305</f>
        <v>0</v>
      </c>
      <c r="F282" s="13">
        <f>重复匹配率!F305</f>
        <v>0</v>
      </c>
      <c r="G282" s="13">
        <f>重复匹配率!G305</f>
        <v>0</v>
      </c>
      <c r="H282" s="13">
        <f>重复匹配率!H305</f>
        <v>0</v>
      </c>
      <c r="I282" s="14" t="s">
        <v>32</v>
      </c>
      <c r="J282" s="15" t="s">
        <v>33</v>
      </c>
    </row>
    <row r="283" spans="1:10">
      <c r="A283" s="16">
        <f>重复匹配率!A306</f>
        <v>0</v>
      </c>
      <c r="B283" s="16">
        <f>重复匹配率!B306</f>
        <v>0</v>
      </c>
      <c r="C283" s="16">
        <f>重复匹配率!C306</f>
        <v>0</v>
      </c>
      <c r="D283" s="16">
        <f>重复匹配率!D306</f>
        <v>0</v>
      </c>
      <c r="E283" s="16">
        <f>重复匹配率!E306</f>
        <v>0</v>
      </c>
      <c r="F283" s="16">
        <f>重复匹配率!F306</f>
        <v>0</v>
      </c>
      <c r="G283" s="16">
        <f>重复匹配率!G306</f>
        <v>0</v>
      </c>
      <c r="H283" s="16">
        <f>重复匹配率!H306</f>
        <v>0</v>
      </c>
      <c r="I283" s="17">
        <v>0</v>
      </c>
      <c r="J283" s="18">
        <f t="shared" ref="J283:J292" si="14">E283*I283</f>
        <v>0</v>
      </c>
    </row>
    <row r="284" spans="1:10">
      <c r="A284" s="16">
        <f>重复匹配率!A307</f>
        <v>0</v>
      </c>
      <c r="B284" s="16">
        <f>重复匹配率!B307</f>
        <v>0</v>
      </c>
      <c r="C284" s="16">
        <f>重复匹配率!C307</f>
        <v>0</v>
      </c>
      <c r="D284" s="16">
        <f>重复匹配率!D307</f>
        <v>0</v>
      </c>
      <c r="E284" s="16">
        <f>重复匹配率!E307</f>
        <v>0</v>
      </c>
      <c r="F284" s="16">
        <f>重复匹配率!F307</f>
        <v>0</v>
      </c>
      <c r="G284" s="16">
        <f>重复匹配率!G307</f>
        <v>0</v>
      </c>
      <c r="H284" s="16">
        <f>重复匹配率!H307</f>
        <v>0</v>
      </c>
      <c r="I284" s="17">
        <v>0</v>
      </c>
      <c r="J284" s="18">
        <f t="shared" si="14"/>
        <v>0</v>
      </c>
    </row>
    <row r="285" spans="1:10">
      <c r="A285" s="16">
        <f>重复匹配率!A308</f>
        <v>0</v>
      </c>
      <c r="B285" s="16">
        <f>重复匹配率!B308</f>
        <v>0</v>
      </c>
      <c r="C285" s="16">
        <f>重复匹配率!C308</f>
        <v>0</v>
      </c>
      <c r="D285" s="16">
        <f>重复匹配率!D308</f>
        <v>0</v>
      </c>
      <c r="E285" s="16">
        <f>重复匹配率!E308</f>
        <v>0</v>
      </c>
      <c r="F285" s="16">
        <f>重复匹配率!F308</f>
        <v>0</v>
      </c>
      <c r="G285" s="16">
        <f>重复匹配率!G308</f>
        <v>0</v>
      </c>
      <c r="H285" s="16">
        <f>重复匹配率!H308</f>
        <v>0</v>
      </c>
      <c r="I285" s="17">
        <v>0.1</v>
      </c>
      <c r="J285" s="18">
        <f t="shared" si="14"/>
        <v>0</v>
      </c>
    </row>
    <row r="286" spans="1:10">
      <c r="A286" s="16">
        <f>重复匹配率!A309</f>
        <v>0</v>
      </c>
      <c r="B286" s="16">
        <f>重复匹配率!B309</f>
        <v>0</v>
      </c>
      <c r="C286" s="16">
        <f>重复匹配率!C309</f>
        <v>0</v>
      </c>
      <c r="D286" s="16">
        <f>重复匹配率!D309</f>
        <v>0</v>
      </c>
      <c r="E286" s="16">
        <f>重复匹配率!E309</f>
        <v>0</v>
      </c>
      <c r="F286" s="16">
        <f>重复匹配率!F309</f>
        <v>0</v>
      </c>
      <c r="G286" s="16">
        <f>重复匹配率!G309</f>
        <v>0</v>
      </c>
      <c r="H286" s="16">
        <f>重复匹配率!H309</f>
        <v>0</v>
      </c>
      <c r="I286" s="17">
        <v>0</v>
      </c>
      <c r="J286" s="18">
        <f t="shared" si="14"/>
        <v>0</v>
      </c>
    </row>
    <row r="287" spans="1:10">
      <c r="A287" s="16">
        <f>重复匹配率!A310</f>
        <v>0</v>
      </c>
      <c r="B287" s="16">
        <f>重复匹配率!B310</f>
        <v>0</v>
      </c>
      <c r="C287" s="16">
        <f>重复匹配率!C310</f>
        <v>0</v>
      </c>
      <c r="D287" s="16">
        <f>重复匹配率!D310</f>
        <v>0</v>
      </c>
      <c r="E287" s="16">
        <f>重复匹配率!E310</f>
        <v>0</v>
      </c>
      <c r="F287" s="16">
        <f>重复匹配率!F310</f>
        <v>0</v>
      </c>
      <c r="G287" s="16">
        <f>重复匹配率!G310</f>
        <v>0</v>
      </c>
      <c r="H287" s="16">
        <f>重复匹配率!H310</f>
        <v>0</v>
      </c>
      <c r="I287" s="17">
        <v>0.2</v>
      </c>
      <c r="J287" s="18">
        <f t="shared" si="14"/>
        <v>0</v>
      </c>
    </row>
    <row r="288" spans="1:10">
      <c r="A288" s="16">
        <f>重复匹配率!A311</f>
        <v>0</v>
      </c>
      <c r="B288" s="16">
        <f>重复匹配率!B311</f>
        <v>0</v>
      </c>
      <c r="C288" s="16">
        <f>重复匹配率!C311</f>
        <v>0</v>
      </c>
      <c r="D288" s="16">
        <f>重复匹配率!D311</f>
        <v>0</v>
      </c>
      <c r="E288" s="16">
        <f>重复匹配率!E311</f>
        <v>0</v>
      </c>
      <c r="F288" s="16">
        <f>重复匹配率!F311</f>
        <v>0</v>
      </c>
      <c r="G288" s="16">
        <f>重复匹配率!G311</f>
        <v>0</v>
      </c>
      <c r="H288" s="16">
        <f>重复匹配率!H311</f>
        <v>0</v>
      </c>
      <c r="I288" s="17">
        <v>0.3</v>
      </c>
      <c r="J288" s="18">
        <f t="shared" si="14"/>
        <v>0</v>
      </c>
    </row>
    <row r="289" spans="1:10">
      <c r="A289" s="16">
        <f>重复匹配率!A312</f>
        <v>0</v>
      </c>
      <c r="B289" s="16">
        <f>重复匹配率!B312</f>
        <v>0</v>
      </c>
      <c r="C289" s="16">
        <f>重复匹配率!C312</f>
        <v>0</v>
      </c>
      <c r="D289" s="16">
        <f>重复匹配率!D312</f>
        <v>0</v>
      </c>
      <c r="E289" s="16">
        <f>重复匹配率!E312</f>
        <v>0</v>
      </c>
      <c r="F289" s="16">
        <f>重复匹配率!F312</f>
        <v>0</v>
      </c>
      <c r="G289" s="16">
        <f>重复匹配率!G312</f>
        <v>0</v>
      </c>
      <c r="H289" s="16">
        <f>重复匹配率!H312</f>
        <v>0</v>
      </c>
      <c r="I289" s="17">
        <v>0.5</v>
      </c>
      <c r="J289" s="18">
        <f t="shared" si="14"/>
        <v>0</v>
      </c>
    </row>
    <row r="290" spans="1:10">
      <c r="A290" s="16">
        <f>重复匹配率!A313</f>
        <v>0</v>
      </c>
      <c r="B290" s="16">
        <f>重复匹配率!B313</f>
        <v>0</v>
      </c>
      <c r="C290" s="16">
        <f>重复匹配率!C313</f>
        <v>0</v>
      </c>
      <c r="D290" s="16">
        <f>重复匹配率!D313</f>
        <v>0</v>
      </c>
      <c r="E290" s="16">
        <f>重复匹配率!E313</f>
        <v>0</v>
      </c>
      <c r="F290" s="16">
        <f>重复匹配率!F313</f>
        <v>0</v>
      </c>
      <c r="G290" s="16">
        <f>重复匹配率!G313</f>
        <v>0</v>
      </c>
      <c r="H290" s="16">
        <f>重复匹配率!H313</f>
        <v>0</v>
      </c>
      <c r="I290" s="17">
        <v>0.6</v>
      </c>
      <c r="J290" s="18">
        <f t="shared" si="14"/>
        <v>0</v>
      </c>
    </row>
    <row r="291" spans="1:10">
      <c r="A291" s="16">
        <f>重复匹配率!A314</f>
        <v>0</v>
      </c>
      <c r="B291" s="16">
        <f>重复匹配率!B314</f>
        <v>0</v>
      </c>
      <c r="C291" s="16">
        <f>重复匹配率!C314</f>
        <v>0</v>
      </c>
      <c r="D291" s="16">
        <f>重复匹配率!D314</f>
        <v>0</v>
      </c>
      <c r="E291" s="16">
        <f>重复匹配率!E314</f>
        <v>0</v>
      </c>
      <c r="F291" s="16">
        <f>重复匹配率!F314</f>
        <v>0</v>
      </c>
      <c r="G291" s="16">
        <f>重复匹配率!G314</f>
        <v>0</v>
      </c>
      <c r="H291" s="16">
        <f>重复匹配率!H314</f>
        <v>0</v>
      </c>
      <c r="I291" s="17">
        <v>1</v>
      </c>
      <c r="J291" s="18">
        <f t="shared" si="14"/>
        <v>0</v>
      </c>
    </row>
    <row r="292" spans="1:10">
      <c r="A292" s="16">
        <f>重复匹配率!A315</f>
        <v>0</v>
      </c>
      <c r="B292" s="16">
        <f>重复匹配率!B315</f>
        <v>0</v>
      </c>
      <c r="C292" s="16">
        <f>重复匹配率!C315</f>
        <v>0</v>
      </c>
      <c r="D292" s="16">
        <f>重复匹配率!D315</f>
        <v>0</v>
      </c>
      <c r="E292" s="16">
        <f>重复匹配率!E315</f>
        <v>0</v>
      </c>
      <c r="F292" s="16">
        <f>重复匹配率!F315</f>
        <v>0</v>
      </c>
      <c r="G292" s="16">
        <f>重复匹配率!G315</f>
        <v>0</v>
      </c>
      <c r="H292" s="16">
        <f>重复匹配率!H315</f>
        <v>0</v>
      </c>
      <c r="I292" s="17">
        <v>1</v>
      </c>
      <c r="J292" s="18">
        <f t="shared" si="14"/>
        <v>0</v>
      </c>
    </row>
    <row r="293" spans="1:10">
      <c r="A293" s="19" t="s">
        <v>34</v>
      </c>
      <c r="B293" s="20"/>
      <c r="C293" s="20"/>
      <c r="D293" s="20"/>
      <c r="E293" s="20"/>
      <c r="F293" s="20"/>
      <c r="G293" s="20"/>
      <c r="H293" s="20"/>
      <c r="I293" s="20"/>
      <c r="J293" s="18">
        <f>SUM(J283:J292)</f>
        <v>0</v>
      </c>
    </row>
    <row r="301" spans="1:10">
      <c r="A301">
        <f>重复匹配率!B322</f>
        <v>0</v>
      </c>
    </row>
    <row r="302" ht="24" spans="1:10">
      <c r="A302" s="13">
        <f>重复匹配率!A325</f>
        <v>0</v>
      </c>
      <c r="B302" s="13">
        <f>重复匹配率!B325</f>
        <v>0</v>
      </c>
      <c r="C302" s="13">
        <f>重复匹配率!C325</f>
        <v>0</v>
      </c>
      <c r="D302" s="13">
        <f>重复匹配率!D325</f>
        <v>0</v>
      </c>
      <c r="E302" s="13">
        <f>重复匹配率!E325</f>
        <v>0</v>
      </c>
      <c r="F302" s="13">
        <f>重复匹配率!F325</f>
        <v>0</v>
      </c>
      <c r="G302" s="13">
        <f>重复匹配率!G325</f>
        <v>0</v>
      </c>
      <c r="H302" s="13">
        <f>重复匹配率!H325</f>
        <v>0</v>
      </c>
      <c r="I302" s="14" t="s">
        <v>32</v>
      </c>
      <c r="J302" s="15" t="s">
        <v>33</v>
      </c>
    </row>
    <row r="303" spans="1:10">
      <c r="A303" s="16">
        <f>重复匹配率!A326</f>
        <v>0</v>
      </c>
      <c r="B303" s="16">
        <f>重复匹配率!B326</f>
        <v>0</v>
      </c>
      <c r="C303" s="16">
        <f>重复匹配率!C326</f>
        <v>0</v>
      </c>
      <c r="D303" s="16">
        <f>重复匹配率!D326</f>
        <v>0</v>
      </c>
      <c r="E303" s="16">
        <f>重复匹配率!E326</f>
        <v>0</v>
      </c>
      <c r="F303" s="16">
        <f>重复匹配率!F326</f>
        <v>0</v>
      </c>
      <c r="G303" s="16">
        <f>重复匹配率!G326</f>
        <v>0</v>
      </c>
      <c r="H303" s="16">
        <f>重复匹配率!H326</f>
        <v>0</v>
      </c>
      <c r="I303" s="17">
        <v>0</v>
      </c>
      <c r="J303" s="18">
        <f t="shared" ref="J303:J312" si="15">E303*I303</f>
        <v>0</v>
      </c>
    </row>
    <row r="304" spans="1:10">
      <c r="A304" s="16">
        <f>重复匹配率!A327</f>
        <v>0</v>
      </c>
      <c r="B304" s="16">
        <f>重复匹配率!B327</f>
        <v>0</v>
      </c>
      <c r="C304" s="16">
        <f>重复匹配率!C327</f>
        <v>0</v>
      </c>
      <c r="D304" s="16">
        <f>重复匹配率!D327</f>
        <v>0</v>
      </c>
      <c r="E304" s="16">
        <f>重复匹配率!E327</f>
        <v>0</v>
      </c>
      <c r="F304" s="16">
        <f>重复匹配率!F327</f>
        <v>0</v>
      </c>
      <c r="G304" s="16">
        <f>重复匹配率!G327</f>
        <v>0</v>
      </c>
      <c r="H304" s="16">
        <f>重复匹配率!H327</f>
        <v>0</v>
      </c>
      <c r="I304" s="17">
        <v>0</v>
      </c>
      <c r="J304" s="18">
        <f t="shared" si="15"/>
        <v>0</v>
      </c>
    </row>
    <row r="305" spans="1:10">
      <c r="A305" s="16">
        <f>重复匹配率!A328</f>
        <v>0</v>
      </c>
      <c r="B305" s="16">
        <f>重复匹配率!B328</f>
        <v>0</v>
      </c>
      <c r="C305" s="16">
        <f>重复匹配率!C328</f>
        <v>0</v>
      </c>
      <c r="D305" s="16">
        <f>重复匹配率!D328</f>
        <v>0</v>
      </c>
      <c r="E305" s="16">
        <f>重复匹配率!E328</f>
        <v>0</v>
      </c>
      <c r="F305" s="16">
        <f>重复匹配率!F328</f>
        <v>0</v>
      </c>
      <c r="G305" s="16">
        <f>重复匹配率!G328</f>
        <v>0</v>
      </c>
      <c r="H305" s="16">
        <f>重复匹配率!H328</f>
        <v>0</v>
      </c>
      <c r="I305" s="17">
        <v>0.1</v>
      </c>
      <c r="J305" s="18">
        <f t="shared" si="15"/>
        <v>0</v>
      </c>
    </row>
    <row r="306" spans="1:10">
      <c r="A306" s="16">
        <f>重复匹配率!A329</f>
        <v>0</v>
      </c>
      <c r="B306" s="16">
        <f>重复匹配率!B329</f>
        <v>0</v>
      </c>
      <c r="C306" s="16">
        <f>重复匹配率!C329</f>
        <v>0</v>
      </c>
      <c r="D306" s="16">
        <f>重复匹配率!D329</f>
        <v>0</v>
      </c>
      <c r="E306" s="16">
        <f>重复匹配率!E329</f>
        <v>0</v>
      </c>
      <c r="F306" s="16">
        <f>重复匹配率!F329</f>
        <v>0</v>
      </c>
      <c r="G306" s="16">
        <f>重复匹配率!G329</f>
        <v>0</v>
      </c>
      <c r="H306" s="16">
        <f>重复匹配率!H329</f>
        <v>0</v>
      </c>
      <c r="I306" s="17">
        <v>0</v>
      </c>
      <c r="J306" s="18">
        <f t="shared" si="15"/>
        <v>0</v>
      </c>
    </row>
    <row r="307" spans="1:10">
      <c r="A307" s="16">
        <f>重复匹配率!A330</f>
        <v>0</v>
      </c>
      <c r="B307" s="16">
        <f>重复匹配率!B330</f>
        <v>0</v>
      </c>
      <c r="C307" s="16">
        <f>重复匹配率!C330</f>
        <v>0</v>
      </c>
      <c r="D307" s="16">
        <f>重复匹配率!D330</f>
        <v>0</v>
      </c>
      <c r="E307" s="16">
        <f>重复匹配率!E330</f>
        <v>0</v>
      </c>
      <c r="F307" s="16">
        <f>重复匹配率!F330</f>
        <v>0</v>
      </c>
      <c r="G307" s="16">
        <f>重复匹配率!G330</f>
        <v>0</v>
      </c>
      <c r="H307" s="16">
        <f>重复匹配率!H330</f>
        <v>0</v>
      </c>
      <c r="I307" s="17">
        <v>0.2</v>
      </c>
      <c r="J307" s="18">
        <f t="shared" si="15"/>
        <v>0</v>
      </c>
    </row>
    <row r="308" spans="1:10">
      <c r="A308" s="16">
        <f>重复匹配率!A331</f>
        <v>0</v>
      </c>
      <c r="B308" s="16">
        <f>重复匹配率!B331</f>
        <v>0</v>
      </c>
      <c r="C308" s="16">
        <f>重复匹配率!C331</f>
        <v>0</v>
      </c>
      <c r="D308" s="16">
        <f>重复匹配率!D331</f>
        <v>0</v>
      </c>
      <c r="E308" s="16">
        <f>重复匹配率!E331</f>
        <v>0</v>
      </c>
      <c r="F308" s="16">
        <f>重复匹配率!F331</f>
        <v>0</v>
      </c>
      <c r="G308" s="16">
        <f>重复匹配率!G331</f>
        <v>0</v>
      </c>
      <c r="H308" s="16">
        <f>重复匹配率!H331</f>
        <v>0</v>
      </c>
      <c r="I308" s="17">
        <v>0.3</v>
      </c>
      <c r="J308" s="18">
        <f t="shared" si="15"/>
        <v>0</v>
      </c>
    </row>
    <row r="309" spans="1:10">
      <c r="A309" s="16">
        <f>重复匹配率!A332</f>
        <v>0</v>
      </c>
      <c r="B309" s="16">
        <f>重复匹配率!B332</f>
        <v>0</v>
      </c>
      <c r="C309" s="16">
        <f>重复匹配率!C332</f>
        <v>0</v>
      </c>
      <c r="D309" s="16">
        <f>重复匹配率!D332</f>
        <v>0</v>
      </c>
      <c r="E309" s="16">
        <f>重复匹配率!E332</f>
        <v>0</v>
      </c>
      <c r="F309" s="16">
        <f>重复匹配率!F332</f>
        <v>0</v>
      </c>
      <c r="G309" s="16">
        <f>重复匹配率!G332</f>
        <v>0</v>
      </c>
      <c r="H309" s="16">
        <f>重复匹配率!H332</f>
        <v>0</v>
      </c>
      <c r="I309" s="17">
        <v>0.5</v>
      </c>
      <c r="J309" s="18">
        <f t="shared" si="15"/>
        <v>0</v>
      </c>
    </row>
    <row r="310" spans="1:10">
      <c r="A310" s="16">
        <f>重复匹配率!A333</f>
        <v>0</v>
      </c>
      <c r="B310" s="16">
        <f>重复匹配率!B333</f>
        <v>0</v>
      </c>
      <c r="C310" s="16">
        <f>重复匹配率!C333</f>
        <v>0</v>
      </c>
      <c r="D310" s="16">
        <f>重复匹配率!D333</f>
        <v>0</v>
      </c>
      <c r="E310" s="16">
        <f>重复匹配率!E333</f>
        <v>0</v>
      </c>
      <c r="F310" s="16">
        <f>重复匹配率!F333</f>
        <v>0</v>
      </c>
      <c r="G310" s="16">
        <f>重复匹配率!G333</f>
        <v>0</v>
      </c>
      <c r="H310" s="16">
        <f>重复匹配率!H333</f>
        <v>0</v>
      </c>
      <c r="I310" s="17">
        <v>0.6</v>
      </c>
      <c r="J310" s="18">
        <f t="shared" si="15"/>
        <v>0</v>
      </c>
    </row>
    <row r="311" spans="1:10">
      <c r="A311" s="16">
        <f>重复匹配率!A334</f>
        <v>0</v>
      </c>
      <c r="B311" s="16">
        <f>重复匹配率!B334</f>
        <v>0</v>
      </c>
      <c r="C311" s="16">
        <f>重复匹配率!C334</f>
        <v>0</v>
      </c>
      <c r="D311" s="16">
        <f>重复匹配率!D334</f>
        <v>0</v>
      </c>
      <c r="E311" s="16">
        <f>重复匹配率!E334</f>
        <v>0</v>
      </c>
      <c r="F311" s="16">
        <f>重复匹配率!F334</f>
        <v>0</v>
      </c>
      <c r="G311" s="16">
        <f>重复匹配率!G334</f>
        <v>0</v>
      </c>
      <c r="H311" s="16">
        <f>重复匹配率!H334</f>
        <v>0</v>
      </c>
      <c r="I311" s="17">
        <v>1</v>
      </c>
      <c r="J311" s="18">
        <f t="shared" si="15"/>
        <v>0</v>
      </c>
    </row>
    <row r="312" spans="1:10">
      <c r="A312" s="16">
        <f>重复匹配率!A335</f>
        <v>0</v>
      </c>
      <c r="B312" s="16">
        <f>重复匹配率!B335</f>
        <v>0</v>
      </c>
      <c r="C312" s="16">
        <f>重复匹配率!C335</f>
        <v>0</v>
      </c>
      <c r="D312" s="16">
        <f>重复匹配率!D335</f>
        <v>0</v>
      </c>
      <c r="E312" s="16">
        <f>重复匹配率!E335</f>
        <v>0</v>
      </c>
      <c r="F312" s="16">
        <f>重复匹配率!F335</f>
        <v>0</v>
      </c>
      <c r="G312" s="16">
        <f>重复匹配率!G335</f>
        <v>0</v>
      </c>
      <c r="H312" s="16">
        <f>重复匹配率!H335</f>
        <v>0</v>
      </c>
      <c r="I312" s="17">
        <v>1</v>
      </c>
      <c r="J312" s="18">
        <f t="shared" si="15"/>
        <v>0</v>
      </c>
    </row>
    <row r="313" spans="1:10">
      <c r="A313" s="19" t="s">
        <v>34</v>
      </c>
      <c r="B313" s="20"/>
      <c r="C313" s="20"/>
      <c r="D313" s="20"/>
      <c r="E313" s="20"/>
      <c r="F313" s="20"/>
      <c r="G313" s="20"/>
      <c r="H313" s="20"/>
      <c r="I313" s="20"/>
      <c r="J313" s="18">
        <f>SUM(J303:J312)</f>
        <v>0</v>
      </c>
    </row>
    <row r="321" spans="1:10">
      <c r="A321">
        <f>重复匹配率!B342</f>
        <v>0</v>
      </c>
    </row>
    <row r="322" ht="24" spans="1:10">
      <c r="A322" s="13">
        <f>重复匹配率!A345</f>
        <v>0</v>
      </c>
      <c r="B322" s="13">
        <f>重复匹配率!B345</f>
        <v>0</v>
      </c>
      <c r="C322" s="13">
        <f>重复匹配率!C345</f>
        <v>0</v>
      </c>
      <c r="D322" s="13">
        <f>重复匹配率!D345</f>
        <v>0</v>
      </c>
      <c r="E322" s="13">
        <f>重复匹配率!E345</f>
        <v>0</v>
      </c>
      <c r="F322" s="13">
        <f>重复匹配率!F345</f>
        <v>0</v>
      </c>
      <c r="G322" s="13">
        <f>重复匹配率!G345</f>
        <v>0</v>
      </c>
      <c r="H322" s="13">
        <f>重复匹配率!H345</f>
        <v>0</v>
      </c>
      <c r="I322" s="14" t="s">
        <v>32</v>
      </c>
      <c r="J322" s="15" t="s">
        <v>33</v>
      </c>
    </row>
    <row r="323" spans="1:10">
      <c r="A323" s="16">
        <f>重复匹配率!A346</f>
        <v>0</v>
      </c>
      <c r="B323" s="16">
        <f>重复匹配率!B346</f>
        <v>0</v>
      </c>
      <c r="C323" s="16">
        <f>重复匹配率!C346</f>
        <v>0</v>
      </c>
      <c r="D323" s="16">
        <f>重复匹配率!D346</f>
        <v>0</v>
      </c>
      <c r="E323" s="16">
        <f>重复匹配率!E346</f>
        <v>0</v>
      </c>
      <c r="F323" s="16">
        <f>重复匹配率!F346</f>
        <v>0</v>
      </c>
      <c r="G323" s="16">
        <f>重复匹配率!G346</f>
        <v>0</v>
      </c>
      <c r="H323" s="16">
        <f>重复匹配率!H346</f>
        <v>0</v>
      </c>
      <c r="I323" s="17">
        <v>0</v>
      </c>
      <c r="J323" s="18">
        <f t="shared" ref="J323:J332" si="16">E323*I323</f>
        <v>0</v>
      </c>
    </row>
    <row r="324" spans="1:10">
      <c r="A324" s="16">
        <f>重复匹配率!A347</f>
        <v>0</v>
      </c>
      <c r="B324" s="16">
        <f>重复匹配率!B347</f>
        <v>0</v>
      </c>
      <c r="C324" s="16">
        <f>重复匹配率!C347</f>
        <v>0</v>
      </c>
      <c r="D324" s="16">
        <f>重复匹配率!D347</f>
        <v>0</v>
      </c>
      <c r="E324" s="16">
        <f>重复匹配率!E347</f>
        <v>0</v>
      </c>
      <c r="F324" s="16">
        <f>重复匹配率!F347</f>
        <v>0</v>
      </c>
      <c r="G324" s="16">
        <f>重复匹配率!G347</f>
        <v>0</v>
      </c>
      <c r="H324" s="16">
        <f>重复匹配率!H347</f>
        <v>0</v>
      </c>
      <c r="I324" s="17">
        <v>0</v>
      </c>
      <c r="J324" s="18">
        <f t="shared" si="16"/>
        <v>0</v>
      </c>
    </row>
    <row r="325" spans="1:10">
      <c r="A325" s="16">
        <f>重复匹配率!A348</f>
        <v>0</v>
      </c>
      <c r="B325" s="16">
        <f>重复匹配率!B348</f>
        <v>0</v>
      </c>
      <c r="C325" s="16">
        <f>重复匹配率!C348</f>
        <v>0</v>
      </c>
      <c r="D325" s="16">
        <f>重复匹配率!D348</f>
        <v>0</v>
      </c>
      <c r="E325" s="16">
        <f>重复匹配率!E348</f>
        <v>0</v>
      </c>
      <c r="F325" s="16">
        <f>重复匹配率!F348</f>
        <v>0</v>
      </c>
      <c r="G325" s="16">
        <f>重复匹配率!G348</f>
        <v>0</v>
      </c>
      <c r="H325" s="16">
        <f>重复匹配率!H348</f>
        <v>0</v>
      </c>
      <c r="I325" s="17">
        <v>0.1</v>
      </c>
      <c r="J325" s="18">
        <f t="shared" si="16"/>
        <v>0</v>
      </c>
    </row>
    <row r="326" spans="1:10">
      <c r="A326" s="16">
        <f>重复匹配率!A349</f>
        <v>0</v>
      </c>
      <c r="B326" s="16">
        <f>重复匹配率!B349</f>
        <v>0</v>
      </c>
      <c r="C326" s="16">
        <f>重复匹配率!C349</f>
        <v>0</v>
      </c>
      <c r="D326" s="16">
        <f>重复匹配率!D349</f>
        <v>0</v>
      </c>
      <c r="E326" s="16">
        <f>重复匹配率!E349</f>
        <v>0</v>
      </c>
      <c r="F326" s="16">
        <f>重复匹配率!F349</f>
        <v>0</v>
      </c>
      <c r="G326" s="16">
        <f>重复匹配率!G349</f>
        <v>0</v>
      </c>
      <c r="H326" s="16">
        <f>重复匹配率!H349</f>
        <v>0</v>
      </c>
      <c r="I326" s="17">
        <v>0</v>
      </c>
      <c r="J326" s="18">
        <f t="shared" si="16"/>
        <v>0</v>
      </c>
    </row>
    <row r="327" spans="1:10">
      <c r="A327" s="16">
        <f>重复匹配率!A350</f>
        <v>0</v>
      </c>
      <c r="B327" s="16">
        <f>重复匹配率!B350</f>
        <v>0</v>
      </c>
      <c r="C327" s="16">
        <f>重复匹配率!C350</f>
        <v>0</v>
      </c>
      <c r="D327" s="16">
        <f>重复匹配率!D350</f>
        <v>0</v>
      </c>
      <c r="E327" s="16">
        <f>重复匹配率!E350</f>
        <v>0</v>
      </c>
      <c r="F327" s="16">
        <f>重复匹配率!F350</f>
        <v>0</v>
      </c>
      <c r="G327" s="16">
        <f>重复匹配率!G350</f>
        <v>0</v>
      </c>
      <c r="H327" s="16">
        <f>重复匹配率!H350</f>
        <v>0</v>
      </c>
      <c r="I327" s="17">
        <v>0.2</v>
      </c>
      <c r="J327" s="18">
        <f t="shared" si="16"/>
        <v>0</v>
      </c>
    </row>
    <row r="328" spans="1:10">
      <c r="A328" s="16">
        <f>重复匹配率!A351</f>
        <v>0</v>
      </c>
      <c r="B328" s="16">
        <f>重复匹配率!B351</f>
        <v>0</v>
      </c>
      <c r="C328" s="16">
        <f>重复匹配率!C351</f>
        <v>0</v>
      </c>
      <c r="D328" s="16">
        <f>重复匹配率!D351</f>
        <v>0</v>
      </c>
      <c r="E328" s="16">
        <f>重复匹配率!E351</f>
        <v>0</v>
      </c>
      <c r="F328" s="16">
        <f>重复匹配率!F351</f>
        <v>0</v>
      </c>
      <c r="G328" s="16">
        <f>重复匹配率!G351</f>
        <v>0</v>
      </c>
      <c r="H328" s="16">
        <f>重复匹配率!H351</f>
        <v>0</v>
      </c>
      <c r="I328" s="17">
        <v>0.3</v>
      </c>
      <c r="J328" s="18">
        <f t="shared" si="16"/>
        <v>0</v>
      </c>
    </row>
    <row r="329" spans="1:10">
      <c r="A329" s="16">
        <f>重复匹配率!A352</f>
        <v>0</v>
      </c>
      <c r="B329" s="16">
        <f>重复匹配率!B352</f>
        <v>0</v>
      </c>
      <c r="C329" s="16">
        <f>重复匹配率!C352</f>
        <v>0</v>
      </c>
      <c r="D329" s="16">
        <f>重复匹配率!D352</f>
        <v>0</v>
      </c>
      <c r="E329" s="16">
        <f>重复匹配率!E352</f>
        <v>0</v>
      </c>
      <c r="F329" s="16">
        <f>重复匹配率!F352</f>
        <v>0</v>
      </c>
      <c r="G329" s="16">
        <f>重复匹配率!G352</f>
        <v>0</v>
      </c>
      <c r="H329" s="16">
        <f>重复匹配率!H352</f>
        <v>0</v>
      </c>
      <c r="I329" s="17">
        <v>0.5</v>
      </c>
      <c r="J329" s="18">
        <f t="shared" si="16"/>
        <v>0</v>
      </c>
    </row>
    <row r="330" spans="1:10">
      <c r="A330" s="16">
        <f>重复匹配率!A353</f>
        <v>0</v>
      </c>
      <c r="B330" s="16">
        <f>重复匹配率!B353</f>
        <v>0</v>
      </c>
      <c r="C330" s="16">
        <f>重复匹配率!C353</f>
        <v>0</v>
      </c>
      <c r="D330" s="16">
        <f>重复匹配率!D353</f>
        <v>0</v>
      </c>
      <c r="E330" s="16">
        <f>重复匹配率!E353</f>
        <v>0</v>
      </c>
      <c r="F330" s="16">
        <f>重复匹配率!F353</f>
        <v>0</v>
      </c>
      <c r="G330" s="16">
        <f>重复匹配率!G353</f>
        <v>0</v>
      </c>
      <c r="H330" s="16">
        <f>重复匹配率!H353</f>
        <v>0</v>
      </c>
      <c r="I330" s="17">
        <v>0.6</v>
      </c>
      <c r="J330" s="18">
        <f t="shared" si="16"/>
        <v>0</v>
      </c>
    </row>
    <row r="331" spans="1:10">
      <c r="A331" s="16">
        <f>重复匹配率!A354</f>
        <v>0</v>
      </c>
      <c r="B331" s="16">
        <f>重复匹配率!B354</f>
        <v>0</v>
      </c>
      <c r="C331" s="16">
        <f>重复匹配率!C354</f>
        <v>0</v>
      </c>
      <c r="D331" s="16">
        <f>重复匹配率!D354</f>
        <v>0</v>
      </c>
      <c r="E331" s="16">
        <f>重复匹配率!E354</f>
        <v>0</v>
      </c>
      <c r="F331" s="16">
        <f>重复匹配率!F354</f>
        <v>0</v>
      </c>
      <c r="G331" s="16">
        <f>重复匹配率!G354</f>
        <v>0</v>
      </c>
      <c r="H331" s="16">
        <f>重复匹配率!H354</f>
        <v>0</v>
      </c>
      <c r="I331" s="17">
        <v>1</v>
      </c>
      <c r="J331" s="18">
        <f t="shared" si="16"/>
        <v>0</v>
      </c>
    </row>
    <row r="332" spans="1:10">
      <c r="A332" s="16">
        <f>重复匹配率!A355</f>
        <v>0</v>
      </c>
      <c r="B332" s="16">
        <f>重复匹配率!B355</f>
        <v>0</v>
      </c>
      <c r="C332" s="16">
        <f>重复匹配率!C355</f>
        <v>0</v>
      </c>
      <c r="D332" s="16">
        <f>重复匹配率!D355</f>
        <v>0</v>
      </c>
      <c r="E332" s="16">
        <f>重复匹配率!E355</f>
        <v>0</v>
      </c>
      <c r="F332" s="16">
        <f>重复匹配率!F355</f>
        <v>0</v>
      </c>
      <c r="G332" s="16">
        <f>重复匹配率!G355</f>
        <v>0</v>
      </c>
      <c r="H332" s="16">
        <f>重复匹配率!H355</f>
        <v>0</v>
      </c>
      <c r="I332" s="17">
        <v>1</v>
      </c>
      <c r="J332" s="18">
        <f t="shared" si="16"/>
        <v>0</v>
      </c>
    </row>
    <row r="333" spans="1:10">
      <c r="A333" s="19" t="s">
        <v>34</v>
      </c>
      <c r="B333" s="20"/>
      <c r="C333" s="20"/>
      <c r="D333" s="20"/>
      <c r="E333" s="20"/>
      <c r="F333" s="20"/>
      <c r="G333" s="20"/>
      <c r="H333" s="20"/>
      <c r="I333" s="20"/>
      <c r="J333" s="18">
        <f>SUM(J323:J332)</f>
        <v>0</v>
      </c>
    </row>
    <row r="341" spans="1:10">
      <c r="A341">
        <f>重复匹配率!B362</f>
        <v>0</v>
      </c>
    </row>
    <row r="342" ht="24" spans="1:10">
      <c r="A342" s="13">
        <f>重复匹配率!A365</f>
        <v>0</v>
      </c>
      <c r="B342" s="13">
        <f>重复匹配率!B365</f>
        <v>0</v>
      </c>
      <c r="C342" s="13">
        <f>重复匹配率!C365</f>
        <v>0</v>
      </c>
      <c r="D342" s="13">
        <f>重复匹配率!D365</f>
        <v>0</v>
      </c>
      <c r="E342" s="13">
        <f>重复匹配率!E365</f>
        <v>0</v>
      </c>
      <c r="F342" s="13">
        <f>重复匹配率!F365</f>
        <v>0</v>
      </c>
      <c r="G342" s="13">
        <f>重复匹配率!G365</f>
        <v>0</v>
      </c>
      <c r="H342" s="13">
        <f>重复匹配率!H365</f>
        <v>0</v>
      </c>
      <c r="I342" s="14" t="s">
        <v>32</v>
      </c>
      <c r="J342" s="15" t="s">
        <v>33</v>
      </c>
    </row>
    <row r="343" spans="1:10">
      <c r="A343" s="16">
        <f>重复匹配率!A366</f>
        <v>0</v>
      </c>
      <c r="B343" s="16">
        <f>重复匹配率!B366</f>
        <v>0</v>
      </c>
      <c r="C343" s="16">
        <f>重复匹配率!C366</f>
        <v>0</v>
      </c>
      <c r="D343" s="16">
        <f>重复匹配率!D366</f>
        <v>0</v>
      </c>
      <c r="E343" s="16">
        <f>重复匹配率!E366</f>
        <v>0</v>
      </c>
      <c r="F343" s="16">
        <f>重复匹配率!F366</f>
        <v>0</v>
      </c>
      <c r="G343" s="16">
        <f>重复匹配率!G366</f>
        <v>0</v>
      </c>
      <c r="H343" s="16">
        <f>重复匹配率!H366</f>
        <v>0</v>
      </c>
      <c r="I343" s="17">
        <v>0</v>
      </c>
      <c r="J343" s="18">
        <f t="shared" ref="J343:J352" si="17">E343*I343</f>
        <v>0</v>
      </c>
    </row>
    <row r="344" spans="1:10">
      <c r="A344" s="16">
        <f>重复匹配率!A367</f>
        <v>0</v>
      </c>
      <c r="B344" s="16">
        <f>重复匹配率!B367</f>
        <v>0</v>
      </c>
      <c r="C344" s="16">
        <f>重复匹配率!C367</f>
        <v>0</v>
      </c>
      <c r="D344" s="16">
        <f>重复匹配率!D367</f>
        <v>0</v>
      </c>
      <c r="E344" s="16">
        <f>重复匹配率!E367</f>
        <v>0</v>
      </c>
      <c r="F344" s="16">
        <f>重复匹配率!F367</f>
        <v>0</v>
      </c>
      <c r="G344" s="16">
        <f>重复匹配率!G367</f>
        <v>0</v>
      </c>
      <c r="H344" s="16">
        <f>重复匹配率!H367</f>
        <v>0</v>
      </c>
      <c r="I344" s="17">
        <v>0</v>
      </c>
      <c r="J344" s="18">
        <f t="shared" si="17"/>
        <v>0</v>
      </c>
    </row>
    <row r="345" spans="1:10">
      <c r="A345" s="16">
        <f>重复匹配率!A368</f>
        <v>0</v>
      </c>
      <c r="B345" s="16">
        <f>重复匹配率!B368</f>
        <v>0</v>
      </c>
      <c r="C345" s="16">
        <f>重复匹配率!C368</f>
        <v>0</v>
      </c>
      <c r="D345" s="16">
        <f>重复匹配率!D368</f>
        <v>0</v>
      </c>
      <c r="E345" s="16">
        <f>重复匹配率!E368</f>
        <v>0</v>
      </c>
      <c r="F345" s="16">
        <f>重复匹配率!F368</f>
        <v>0</v>
      </c>
      <c r="G345" s="16">
        <f>重复匹配率!G368</f>
        <v>0</v>
      </c>
      <c r="H345" s="16">
        <f>重复匹配率!H368</f>
        <v>0</v>
      </c>
      <c r="I345" s="17">
        <v>0.1</v>
      </c>
      <c r="J345" s="18">
        <f t="shared" si="17"/>
        <v>0</v>
      </c>
    </row>
    <row r="346" spans="1:10">
      <c r="A346" s="16">
        <f>重复匹配率!A369</f>
        <v>0</v>
      </c>
      <c r="B346" s="16">
        <f>重复匹配率!B369</f>
        <v>0</v>
      </c>
      <c r="C346" s="16">
        <f>重复匹配率!C369</f>
        <v>0</v>
      </c>
      <c r="D346" s="16">
        <f>重复匹配率!D369</f>
        <v>0</v>
      </c>
      <c r="E346" s="16">
        <f>重复匹配率!E369</f>
        <v>0</v>
      </c>
      <c r="F346" s="16">
        <f>重复匹配率!F369</f>
        <v>0</v>
      </c>
      <c r="G346" s="16">
        <f>重复匹配率!G369</f>
        <v>0</v>
      </c>
      <c r="H346" s="16">
        <f>重复匹配率!H369</f>
        <v>0</v>
      </c>
      <c r="I346" s="17">
        <v>0</v>
      </c>
      <c r="J346" s="18">
        <f t="shared" si="17"/>
        <v>0</v>
      </c>
    </row>
    <row r="347" spans="1:10">
      <c r="A347" s="16">
        <f>重复匹配率!A370</f>
        <v>0</v>
      </c>
      <c r="B347" s="16">
        <f>重复匹配率!B370</f>
        <v>0</v>
      </c>
      <c r="C347" s="16">
        <f>重复匹配率!C370</f>
        <v>0</v>
      </c>
      <c r="D347" s="16">
        <f>重复匹配率!D370</f>
        <v>0</v>
      </c>
      <c r="E347" s="16">
        <f>重复匹配率!E370</f>
        <v>0</v>
      </c>
      <c r="F347" s="16">
        <f>重复匹配率!F370</f>
        <v>0</v>
      </c>
      <c r="G347" s="16">
        <f>重复匹配率!G370</f>
        <v>0</v>
      </c>
      <c r="H347" s="16">
        <f>重复匹配率!H370</f>
        <v>0</v>
      </c>
      <c r="I347" s="17">
        <v>0.2</v>
      </c>
      <c r="J347" s="18">
        <f t="shared" si="17"/>
        <v>0</v>
      </c>
    </row>
    <row r="348" spans="1:10">
      <c r="A348" s="16">
        <f>重复匹配率!A371</f>
        <v>0</v>
      </c>
      <c r="B348" s="16">
        <f>重复匹配率!B371</f>
        <v>0</v>
      </c>
      <c r="C348" s="16">
        <f>重复匹配率!C371</f>
        <v>0</v>
      </c>
      <c r="D348" s="16">
        <f>重复匹配率!D371</f>
        <v>0</v>
      </c>
      <c r="E348" s="16">
        <f>重复匹配率!E371</f>
        <v>0</v>
      </c>
      <c r="F348" s="16">
        <f>重复匹配率!F371</f>
        <v>0</v>
      </c>
      <c r="G348" s="16">
        <f>重复匹配率!G371</f>
        <v>0</v>
      </c>
      <c r="H348" s="16">
        <f>重复匹配率!H371</f>
        <v>0</v>
      </c>
      <c r="I348" s="17">
        <v>0.3</v>
      </c>
      <c r="J348" s="18">
        <f t="shared" si="17"/>
        <v>0</v>
      </c>
    </row>
    <row r="349" spans="1:10">
      <c r="A349" s="16">
        <f>重复匹配率!A372</f>
        <v>0</v>
      </c>
      <c r="B349" s="16">
        <f>重复匹配率!B372</f>
        <v>0</v>
      </c>
      <c r="C349" s="16">
        <f>重复匹配率!C372</f>
        <v>0</v>
      </c>
      <c r="D349" s="16">
        <f>重复匹配率!D372</f>
        <v>0</v>
      </c>
      <c r="E349" s="16">
        <f>重复匹配率!E372</f>
        <v>0</v>
      </c>
      <c r="F349" s="16">
        <f>重复匹配率!F372</f>
        <v>0</v>
      </c>
      <c r="G349" s="16">
        <f>重复匹配率!G372</f>
        <v>0</v>
      </c>
      <c r="H349" s="16">
        <f>重复匹配率!H372</f>
        <v>0</v>
      </c>
      <c r="I349" s="17">
        <v>0.5</v>
      </c>
      <c r="J349" s="18">
        <f t="shared" si="17"/>
        <v>0</v>
      </c>
    </row>
    <row r="350" spans="1:10">
      <c r="A350" s="16">
        <f>重复匹配率!A373</f>
        <v>0</v>
      </c>
      <c r="B350" s="16">
        <f>重复匹配率!B373</f>
        <v>0</v>
      </c>
      <c r="C350" s="16">
        <f>重复匹配率!C373</f>
        <v>0</v>
      </c>
      <c r="D350" s="16">
        <f>重复匹配率!D373</f>
        <v>0</v>
      </c>
      <c r="E350" s="16">
        <f>重复匹配率!E373</f>
        <v>0</v>
      </c>
      <c r="F350" s="16">
        <f>重复匹配率!F373</f>
        <v>0</v>
      </c>
      <c r="G350" s="16">
        <f>重复匹配率!G373</f>
        <v>0</v>
      </c>
      <c r="H350" s="16">
        <f>重复匹配率!H373</f>
        <v>0</v>
      </c>
      <c r="I350" s="17">
        <v>0.6</v>
      </c>
      <c r="J350" s="18">
        <f t="shared" si="17"/>
        <v>0</v>
      </c>
    </row>
    <row r="351" spans="1:10">
      <c r="A351" s="16">
        <f>重复匹配率!A374</f>
        <v>0</v>
      </c>
      <c r="B351" s="16">
        <f>重复匹配率!B374</f>
        <v>0</v>
      </c>
      <c r="C351" s="16">
        <f>重复匹配率!C374</f>
        <v>0</v>
      </c>
      <c r="D351" s="16">
        <f>重复匹配率!D374</f>
        <v>0</v>
      </c>
      <c r="E351" s="16">
        <f>重复匹配率!E374</f>
        <v>0</v>
      </c>
      <c r="F351" s="16">
        <f>重复匹配率!F374</f>
        <v>0</v>
      </c>
      <c r="G351" s="16">
        <f>重复匹配率!G374</f>
        <v>0</v>
      </c>
      <c r="H351" s="16">
        <f>重复匹配率!H374</f>
        <v>0</v>
      </c>
      <c r="I351" s="17">
        <v>1</v>
      </c>
      <c r="J351" s="18">
        <f t="shared" si="17"/>
        <v>0</v>
      </c>
    </row>
    <row r="352" spans="1:10">
      <c r="A352" s="16">
        <f>重复匹配率!A375</f>
        <v>0</v>
      </c>
      <c r="B352" s="16">
        <f>重复匹配率!B375</f>
        <v>0</v>
      </c>
      <c r="C352" s="16">
        <f>重复匹配率!C375</f>
        <v>0</v>
      </c>
      <c r="D352" s="16">
        <f>重复匹配率!D375</f>
        <v>0</v>
      </c>
      <c r="E352" s="16">
        <f>重复匹配率!E375</f>
        <v>0</v>
      </c>
      <c r="F352" s="16">
        <f>重复匹配率!F375</f>
        <v>0</v>
      </c>
      <c r="G352" s="16">
        <f>重复匹配率!G375</f>
        <v>0</v>
      </c>
      <c r="H352" s="16">
        <f>重复匹配率!H375</f>
        <v>0</v>
      </c>
      <c r="I352" s="17">
        <v>1</v>
      </c>
      <c r="J352" s="18">
        <f t="shared" si="17"/>
        <v>0</v>
      </c>
    </row>
    <row r="353" spans="1:10">
      <c r="A353" s="19" t="s">
        <v>34</v>
      </c>
      <c r="B353" s="20"/>
      <c r="C353" s="20"/>
      <c r="D353" s="20"/>
      <c r="E353" s="20"/>
      <c r="F353" s="20"/>
      <c r="G353" s="20"/>
      <c r="H353" s="20"/>
      <c r="I353" s="20"/>
      <c r="J353" s="18">
        <f>SUM(J343:J352)</f>
        <v>0</v>
      </c>
    </row>
    <row r="361" spans="1:10">
      <c r="A361">
        <f>重复匹配率!B382</f>
        <v>0</v>
      </c>
    </row>
    <row r="362" ht="24" spans="1:10">
      <c r="A362" s="13">
        <f>重复匹配率!A385</f>
        <v>0</v>
      </c>
      <c r="B362" s="13">
        <f>重复匹配率!B385</f>
        <v>0</v>
      </c>
      <c r="C362" s="13">
        <f>重复匹配率!C385</f>
        <v>0</v>
      </c>
      <c r="D362" s="13">
        <f>重复匹配率!D385</f>
        <v>0</v>
      </c>
      <c r="E362" s="13">
        <f>重复匹配率!E385</f>
        <v>0</v>
      </c>
      <c r="F362" s="13">
        <f>重复匹配率!F385</f>
        <v>0</v>
      </c>
      <c r="G362" s="13">
        <f>重复匹配率!G385</f>
        <v>0</v>
      </c>
      <c r="H362" s="13">
        <f>重复匹配率!H385</f>
        <v>0</v>
      </c>
      <c r="I362" s="14" t="s">
        <v>32</v>
      </c>
      <c r="J362" s="15" t="s">
        <v>33</v>
      </c>
    </row>
    <row r="363" spans="1:10">
      <c r="A363" s="16">
        <f>重复匹配率!A386</f>
        <v>0</v>
      </c>
      <c r="B363" s="16">
        <f>重复匹配率!B386</f>
        <v>0</v>
      </c>
      <c r="C363" s="16">
        <f>重复匹配率!C386</f>
        <v>0</v>
      </c>
      <c r="D363" s="16">
        <f>重复匹配率!D386</f>
        <v>0</v>
      </c>
      <c r="E363" s="16">
        <f>重复匹配率!E386</f>
        <v>0</v>
      </c>
      <c r="F363" s="16">
        <f>重复匹配率!F386</f>
        <v>0</v>
      </c>
      <c r="G363" s="16">
        <f>重复匹配率!G386</f>
        <v>0</v>
      </c>
      <c r="H363" s="16">
        <f>重复匹配率!H386</f>
        <v>0</v>
      </c>
      <c r="I363" s="17">
        <v>0</v>
      </c>
      <c r="J363" s="18">
        <f t="shared" ref="J363:J372" si="18">E363*I363</f>
        <v>0</v>
      </c>
    </row>
    <row r="364" spans="1:10">
      <c r="A364" s="16">
        <f>重复匹配率!A387</f>
        <v>0</v>
      </c>
      <c r="B364" s="16">
        <f>重复匹配率!B387</f>
        <v>0</v>
      </c>
      <c r="C364" s="16">
        <f>重复匹配率!C387</f>
        <v>0</v>
      </c>
      <c r="D364" s="16">
        <f>重复匹配率!D387</f>
        <v>0</v>
      </c>
      <c r="E364" s="16">
        <f>重复匹配率!E387</f>
        <v>0</v>
      </c>
      <c r="F364" s="16">
        <f>重复匹配率!F387</f>
        <v>0</v>
      </c>
      <c r="G364" s="16">
        <f>重复匹配率!G387</f>
        <v>0</v>
      </c>
      <c r="H364" s="16">
        <f>重复匹配率!H387</f>
        <v>0</v>
      </c>
      <c r="I364" s="17">
        <v>0</v>
      </c>
      <c r="J364" s="18">
        <f t="shared" si="18"/>
        <v>0</v>
      </c>
    </row>
    <row r="365" spans="1:10">
      <c r="A365" s="16">
        <f>重复匹配率!A388</f>
        <v>0</v>
      </c>
      <c r="B365" s="16">
        <f>重复匹配率!B388</f>
        <v>0</v>
      </c>
      <c r="C365" s="16">
        <f>重复匹配率!C388</f>
        <v>0</v>
      </c>
      <c r="D365" s="16">
        <f>重复匹配率!D388</f>
        <v>0</v>
      </c>
      <c r="E365" s="16">
        <f>重复匹配率!E388</f>
        <v>0</v>
      </c>
      <c r="F365" s="16">
        <f>重复匹配率!F388</f>
        <v>0</v>
      </c>
      <c r="G365" s="16">
        <f>重复匹配率!G388</f>
        <v>0</v>
      </c>
      <c r="H365" s="16">
        <f>重复匹配率!H388</f>
        <v>0</v>
      </c>
      <c r="I365" s="17">
        <v>0.1</v>
      </c>
      <c r="J365" s="18">
        <f t="shared" si="18"/>
        <v>0</v>
      </c>
    </row>
    <row r="366" spans="1:10">
      <c r="A366" s="16">
        <f>重复匹配率!A389</f>
        <v>0</v>
      </c>
      <c r="B366" s="16">
        <f>重复匹配率!B389</f>
        <v>0</v>
      </c>
      <c r="C366" s="16">
        <f>重复匹配率!C389</f>
        <v>0</v>
      </c>
      <c r="D366" s="16">
        <f>重复匹配率!D389</f>
        <v>0</v>
      </c>
      <c r="E366" s="16">
        <f>重复匹配率!E389</f>
        <v>0</v>
      </c>
      <c r="F366" s="16">
        <f>重复匹配率!F389</f>
        <v>0</v>
      </c>
      <c r="G366" s="16">
        <f>重复匹配率!G389</f>
        <v>0</v>
      </c>
      <c r="H366" s="16">
        <f>重复匹配率!H389</f>
        <v>0</v>
      </c>
      <c r="I366" s="17">
        <v>0</v>
      </c>
      <c r="J366" s="18">
        <f t="shared" si="18"/>
        <v>0</v>
      </c>
    </row>
    <row r="367" spans="1:10">
      <c r="A367" s="16">
        <f>重复匹配率!A390</f>
        <v>0</v>
      </c>
      <c r="B367" s="16">
        <f>重复匹配率!B390</f>
        <v>0</v>
      </c>
      <c r="C367" s="16">
        <f>重复匹配率!C390</f>
        <v>0</v>
      </c>
      <c r="D367" s="16">
        <f>重复匹配率!D390</f>
        <v>0</v>
      </c>
      <c r="E367" s="16">
        <f>重复匹配率!E390</f>
        <v>0</v>
      </c>
      <c r="F367" s="16">
        <f>重复匹配率!F390</f>
        <v>0</v>
      </c>
      <c r="G367" s="16">
        <f>重复匹配率!G390</f>
        <v>0</v>
      </c>
      <c r="H367" s="16">
        <f>重复匹配率!H390</f>
        <v>0</v>
      </c>
      <c r="I367" s="17">
        <v>0.2</v>
      </c>
      <c r="J367" s="18">
        <f t="shared" si="18"/>
        <v>0</v>
      </c>
    </row>
    <row r="368" spans="1:10">
      <c r="A368" s="16">
        <f>重复匹配率!A391</f>
        <v>0</v>
      </c>
      <c r="B368" s="16">
        <f>重复匹配率!B391</f>
        <v>0</v>
      </c>
      <c r="C368" s="16">
        <f>重复匹配率!C391</f>
        <v>0</v>
      </c>
      <c r="D368" s="16">
        <f>重复匹配率!D391</f>
        <v>0</v>
      </c>
      <c r="E368" s="16">
        <f>重复匹配率!E391</f>
        <v>0</v>
      </c>
      <c r="F368" s="16">
        <f>重复匹配率!F391</f>
        <v>0</v>
      </c>
      <c r="G368" s="16">
        <f>重复匹配率!G391</f>
        <v>0</v>
      </c>
      <c r="H368" s="16">
        <f>重复匹配率!H391</f>
        <v>0</v>
      </c>
      <c r="I368" s="17">
        <v>0.3</v>
      </c>
      <c r="J368" s="18">
        <f t="shared" si="18"/>
        <v>0</v>
      </c>
    </row>
    <row r="369" spans="1:10">
      <c r="A369" s="16">
        <f>重复匹配率!A392</f>
        <v>0</v>
      </c>
      <c r="B369" s="16">
        <f>重复匹配率!B392</f>
        <v>0</v>
      </c>
      <c r="C369" s="16">
        <f>重复匹配率!C392</f>
        <v>0</v>
      </c>
      <c r="D369" s="16">
        <f>重复匹配率!D392</f>
        <v>0</v>
      </c>
      <c r="E369" s="16">
        <f>重复匹配率!E392</f>
        <v>0</v>
      </c>
      <c r="F369" s="16">
        <f>重复匹配率!F392</f>
        <v>0</v>
      </c>
      <c r="G369" s="16">
        <f>重复匹配率!G392</f>
        <v>0</v>
      </c>
      <c r="H369" s="16">
        <f>重复匹配率!H392</f>
        <v>0</v>
      </c>
      <c r="I369" s="17">
        <v>0.5</v>
      </c>
      <c r="J369" s="18">
        <f t="shared" si="18"/>
        <v>0</v>
      </c>
    </row>
    <row r="370" spans="1:10">
      <c r="A370" s="16">
        <f>重复匹配率!A393</f>
        <v>0</v>
      </c>
      <c r="B370" s="16">
        <f>重复匹配率!B393</f>
        <v>0</v>
      </c>
      <c r="C370" s="16">
        <f>重复匹配率!C393</f>
        <v>0</v>
      </c>
      <c r="D370" s="16">
        <f>重复匹配率!D393</f>
        <v>0</v>
      </c>
      <c r="E370" s="16">
        <f>重复匹配率!E393</f>
        <v>0</v>
      </c>
      <c r="F370" s="16">
        <f>重复匹配率!F393</f>
        <v>0</v>
      </c>
      <c r="G370" s="16">
        <f>重复匹配率!G393</f>
        <v>0</v>
      </c>
      <c r="H370" s="16">
        <f>重复匹配率!H393</f>
        <v>0</v>
      </c>
      <c r="I370" s="17">
        <v>0.6</v>
      </c>
      <c r="J370" s="18">
        <f t="shared" si="18"/>
        <v>0</v>
      </c>
    </row>
    <row r="371" spans="1:10">
      <c r="A371" s="16">
        <f>重复匹配率!A394</f>
        <v>0</v>
      </c>
      <c r="B371" s="16">
        <f>重复匹配率!B394</f>
        <v>0</v>
      </c>
      <c r="C371" s="16">
        <f>重复匹配率!C394</f>
        <v>0</v>
      </c>
      <c r="D371" s="16">
        <f>重复匹配率!D394</f>
        <v>0</v>
      </c>
      <c r="E371" s="16">
        <f>重复匹配率!E394</f>
        <v>0</v>
      </c>
      <c r="F371" s="16">
        <f>重复匹配率!F394</f>
        <v>0</v>
      </c>
      <c r="G371" s="16">
        <f>重复匹配率!G394</f>
        <v>0</v>
      </c>
      <c r="H371" s="16">
        <f>重复匹配率!H394</f>
        <v>0</v>
      </c>
      <c r="I371" s="17">
        <v>1</v>
      </c>
      <c r="J371" s="18">
        <f t="shared" si="18"/>
        <v>0</v>
      </c>
    </row>
    <row r="372" spans="1:10">
      <c r="A372" s="16">
        <f>重复匹配率!A395</f>
        <v>0</v>
      </c>
      <c r="B372" s="16">
        <f>重复匹配率!B395</f>
        <v>0</v>
      </c>
      <c r="C372" s="16">
        <f>重复匹配率!C395</f>
        <v>0</v>
      </c>
      <c r="D372" s="16">
        <f>重复匹配率!D395</f>
        <v>0</v>
      </c>
      <c r="E372" s="16">
        <f>重复匹配率!E395</f>
        <v>0</v>
      </c>
      <c r="F372" s="16">
        <f>重复匹配率!F395</f>
        <v>0</v>
      </c>
      <c r="G372" s="16">
        <f>重复匹配率!G395</f>
        <v>0</v>
      </c>
      <c r="H372" s="16">
        <f>重复匹配率!H395</f>
        <v>0</v>
      </c>
      <c r="I372" s="17">
        <v>1</v>
      </c>
      <c r="J372" s="18">
        <f t="shared" si="18"/>
        <v>0</v>
      </c>
    </row>
    <row r="373" spans="1:10">
      <c r="A373" s="19" t="s">
        <v>34</v>
      </c>
      <c r="B373" s="20"/>
      <c r="C373" s="20"/>
      <c r="D373" s="20"/>
      <c r="E373" s="20"/>
      <c r="F373" s="20"/>
      <c r="G373" s="20"/>
      <c r="H373" s="20"/>
      <c r="I373" s="20"/>
      <c r="J373" s="18">
        <f>SUM(J363:J372)</f>
        <v>0</v>
      </c>
    </row>
    <row r="381" spans="1:10">
      <c r="A381">
        <f>重复匹配率!B402</f>
        <v>0</v>
      </c>
    </row>
    <row r="382" ht="24" spans="1:10">
      <c r="A382" s="13">
        <f>重复匹配率!A405</f>
        <v>0</v>
      </c>
      <c r="B382" s="13">
        <f>重复匹配率!B405</f>
        <v>0</v>
      </c>
      <c r="C382" s="13">
        <f>重复匹配率!C405</f>
        <v>0</v>
      </c>
      <c r="D382" s="13">
        <f>重复匹配率!D405</f>
        <v>0</v>
      </c>
      <c r="E382" s="13">
        <f>重复匹配率!E405</f>
        <v>0</v>
      </c>
      <c r="F382" s="13">
        <f>重复匹配率!F405</f>
        <v>0</v>
      </c>
      <c r="G382" s="13">
        <f>重复匹配率!G405</f>
        <v>0</v>
      </c>
      <c r="H382" s="13">
        <f>重复匹配率!H405</f>
        <v>0</v>
      </c>
      <c r="I382" s="14" t="s">
        <v>32</v>
      </c>
      <c r="J382" s="15" t="s">
        <v>33</v>
      </c>
    </row>
    <row r="383" spans="1:10">
      <c r="A383" s="16">
        <f>重复匹配率!A406</f>
        <v>0</v>
      </c>
      <c r="B383" s="16">
        <f>重复匹配率!B406</f>
        <v>0</v>
      </c>
      <c r="C383" s="16">
        <f>重复匹配率!C406</f>
        <v>0</v>
      </c>
      <c r="D383" s="16">
        <f>重复匹配率!D406</f>
        <v>0</v>
      </c>
      <c r="E383" s="16">
        <f>重复匹配率!E406</f>
        <v>0</v>
      </c>
      <c r="F383" s="16">
        <f>重复匹配率!F406</f>
        <v>0</v>
      </c>
      <c r="G383" s="16">
        <f>重复匹配率!G406</f>
        <v>0</v>
      </c>
      <c r="H383" s="16">
        <f>重复匹配率!H406</f>
        <v>0</v>
      </c>
      <c r="I383" s="17">
        <v>0</v>
      </c>
      <c r="J383" s="18">
        <f t="shared" ref="J383:J392" si="19">E383*I383</f>
        <v>0</v>
      </c>
    </row>
    <row r="384" spans="1:10">
      <c r="A384" s="16">
        <f>重复匹配率!A407</f>
        <v>0</v>
      </c>
      <c r="B384" s="16">
        <f>重复匹配率!B407</f>
        <v>0</v>
      </c>
      <c r="C384" s="16">
        <f>重复匹配率!C407</f>
        <v>0</v>
      </c>
      <c r="D384" s="16">
        <f>重复匹配率!D407</f>
        <v>0</v>
      </c>
      <c r="E384" s="16">
        <f>重复匹配率!E407</f>
        <v>0</v>
      </c>
      <c r="F384" s="16">
        <f>重复匹配率!F407</f>
        <v>0</v>
      </c>
      <c r="G384" s="16">
        <f>重复匹配率!G407</f>
        <v>0</v>
      </c>
      <c r="H384" s="16">
        <f>重复匹配率!H407</f>
        <v>0</v>
      </c>
      <c r="I384" s="17">
        <v>0</v>
      </c>
      <c r="J384" s="18">
        <f t="shared" si="19"/>
        <v>0</v>
      </c>
    </row>
    <row r="385" spans="1:10">
      <c r="A385" s="16">
        <f>重复匹配率!A408</f>
        <v>0</v>
      </c>
      <c r="B385" s="16">
        <f>重复匹配率!B408</f>
        <v>0</v>
      </c>
      <c r="C385" s="16">
        <f>重复匹配率!C408</f>
        <v>0</v>
      </c>
      <c r="D385" s="16">
        <f>重复匹配率!D408</f>
        <v>0</v>
      </c>
      <c r="E385" s="16">
        <f>重复匹配率!E408</f>
        <v>0</v>
      </c>
      <c r="F385" s="16">
        <f>重复匹配率!F408</f>
        <v>0</v>
      </c>
      <c r="G385" s="16">
        <f>重复匹配率!G408</f>
        <v>0</v>
      </c>
      <c r="H385" s="16">
        <f>重复匹配率!H408</f>
        <v>0</v>
      </c>
      <c r="I385" s="17">
        <v>0.1</v>
      </c>
      <c r="J385" s="18">
        <f t="shared" si="19"/>
        <v>0</v>
      </c>
    </row>
    <row r="386" spans="1:10">
      <c r="A386" s="16">
        <f>重复匹配率!A409</f>
        <v>0</v>
      </c>
      <c r="B386" s="16">
        <f>重复匹配率!B409</f>
        <v>0</v>
      </c>
      <c r="C386" s="16">
        <f>重复匹配率!C409</f>
        <v>0</v>
      </c>
      <c r="D386" s="16">
        <f>重复匹配率!D409</f>
        <v>0</v>
      </c>
      <c r="E386" s="16">
        <f>重复匹配率!E409</f>
        <v>0</v>
      </c>
      <c r="F386" s="16">
        <f>重复匹配率!F409</f>
        <v>0</v>
      </c>
      <c r="G386" s="16">
        <f>重复匹配率!G409</f>
        <v>0</v>
      </c>
      <c r="H386" s="16">
        <f>重复匹配率!H409</f>
        <v>0</v>
      </c>
      <c r="I386" s="17">
        <v>0</v>
      </c>
      <c r="J386" s="18">
        <f t="shared" si="19"/>
        <v>0</v>
      </c>
    </row>
    <row r="387" spans="1:10">
      <c r="A387" s="16">
        <f>重复匹配率!A410</f>
        <v>0</v>
      </c>
      <c r="B387" s="16">
        <f>重复匹配率!B410</f>
        <v>0</v>
      </c>
      <c r="C387" s="16">
        <f>重复匹配率!C410</f>
        <v>0</v>
      </c>
      <c r="D387" s="16">
        <f>重复匹配率!D410</f>
        <v>0</v>
      </c>
      <c r="E387" s="16">
        <f>重复匹配率!E410</f>
        <v>0</v>
      </c>
      <c r="F387" s="16">
        <f>重复匹配率!F410</f>
        <v>0</v>
      </c>
      <c r="G387" s="16">
        <f>重复匹配率!G410</f>
        <v>0</v>
      </c>
      <c r="H387" s="16">
        <f>重复匹配率!H410</f>
        <v>0</v>
      </c>
      <c r="I387" s="17">
        <v>0.2</v>
      </c>
      <c r="J387" s="18">
        <f t="shared" si="19"/>
        <v>0</v>
      </c>
    </row>
    <row r="388" spans="1:10">
      <c r="A388" s="16">
        <f>重复匹配率!A411</f>
        <v>0</v>
      </c>
      <c r="B388" s="16">
        <f>重复匹配率!B411</f>
        <v>0</v>
      </c>
      <c r="C388" s="16">
        <f>重复匹配率!C411</f>
        <v>0</v>
      </c>
      <c r="D388" s="16">
        <f>重复匹配率!D411</f>
        <v>0</v>
      </c>
      <c r="E388" s="16">
        <f>重复匹配率!E411</f>
        <v>0</v>
      </c>
      <c r="F388" s="16">
        <f>重复匹配率!F411</f>
        <v>0</v>
      </c>
      <c r="G388" s="16">
        <f>重复匹配率!G411</f>
        <v>0</v>
      </c>
      <c r="H388" s="16">
        <f>重复匹配率!H411</f>
        <v>0</v>
      </c>
      <c r="I388" s="17">
        <v>0.3</v>
      </c>
      <c r="J388" s="18">
        <f t="shared" si="19"/>
        <v>0</v>
      </c>
    </row>
    <row r="389" spans="1:10">
      <c r="A389" s="16">
        <f>重复匹配率!A412</f>
        <v>0</v>
      </c>
      <c r="B389" s="16">
        <f>重复匹配率!B412</f>
        <v>0</v>
      </c>
      <c r="C389" s="16">
        <f>重复匹配率!C412</f>
        <v>0</v>
      </c>
      <c r="D389" s="16">
        <f>重复匹配率!D412</f>
        <v>0</v>
      </c>
      <c r="E389" s="16">
        <f>重复匹配率!E412</f>
        <v>0</v>
      </c>
      <c r="F389" s="16">
        <f>重复匹配率!F412</f>
        <v>0</v>
      </c>
      <c r="G389" s="16">
        <f>重复匹配率!G412</f>
        <v>0</v>
      </c>
      <c r="H389" s="16">
        <f>重复匹配率!H412</f>
        <v>0</v>
      </c>
      <c r="I389" s="17">
        <v>0.5</v>
      </c>
      <c r="J389" s="18">
        <f t="shared" si="19"/>
        <v>0</v>
      </c>
    </row>
    <row r="390" spans="1:10">
      <c r="A390" s="16">
        <f>重复匹配率!A413</f>
        <v>0</v>
      </c>
      <c r="B390" s="16">
        <f>重复匹配率!B413</f>
        <v>0</v>
      </c>
      <c r="C390" s="16">
        <f>重复匹配率!C413</f>
        <v>0</v>
      </c>
      <c r="D390" s="16">
        <f>重复匹配率!D413</f>
        <v>0</v>
      </c>
      <c r="E390" s="16">
        <f>重复匹配率!E413</f>
        <v>0</v>
      </c>
      <c r="F390" s="16">
        <f>重复匹配率!F413</f>
        <v>0</v>
      </c>
      <c r="G390" s="16">
        <f>重复匹配率!G413</f>
        <v>0</v>
      </c>
      <c r="H390" s="16">
        <f>重复匹配率!H413</f>
        <v>0</v>
      </c>
      <c r="I390" s="17">
        <v>0.6</v>
      </c>
      <c r="J390" s="18">
        <f t="shared" si="19"/>
        <v>0</v>
      </c>
    </row>
    <row r="391" spans="1:10">
      <c r="A391" s="16">
        <f>重复匹配率!A414</f>
        <v>0</v>
      </c>
      <c r="B391" s="16">
        <f>重复匹配率!B414</f>
        <v>0</v>
      </c>
      <c r="C391" s="16">
        <f>重复匹配率!C414</f>
        <v>0</v>
      </c>
      <c r="D391" s="16">
        <f>重复匹配率!D414</f>
        <v>0</v>
      </c>
      <c r="E391" s="16">
        <f>重复匹配率!E414</f>
        <v>0</v>
      </c>
      <c r="F391" s="16">
        <f>重复匹配率!F414</f>
        <v>0</v>
      </c>
      <c r="G391" s="16">
        <f>重复匹配率!G414</f>
        <v>0</v>
      </c>
      <c r="H391" s="16">
        <f>重复匹配率!H414</f>
        <v>0</v>
      </c>
      <c r="I391" s="17">
        <v>1</v>
      </c>
      <c r="J391" s="18">
        <f t="shared" si="19"/>
        <v>0</v>
      </c>
    </row>
    <row r="392" spans="1:10">
      <c r="A392" s="16">
        <f>重复匹配率!A415</f>
        <v>0</v>
      </c>
      <c r="B392" s="16">
        <f>重复匹配率!B415</f>
        <v>0</v>
      </c>
      <c r="C392" s="16">
        <f>重复匹配率!C415</f>
        <v>0</v>
      </c>
      <c r="D392" s="16">
        <f>重复匹配率!D415</f>
        <v>0</v>
      </c>
      <c r="E392" s="16">
        <f>重复匹配率!E415</f>
        <v>0</v>
      </c>
      <c r="F392" s="16">
        <f>重复匹配率!F415</f>
        <v>0</v>
      </c>
      <c r="G392" s="16">
        <f>重复匹配率!G415</f>
        <v>0</v>
      </c>
      <c r="H392" s="16">
        <f>重复匹配率!H415</f>
        <v>0</v>
      </c>
      <c r="I392" s="17">
        <v>1</v>
      </c>
      <c r="J392" s="18">
        <f t="shared" si="19"/>
        <v>0</v>
      </c>
    </row>
    <row r="393" spans="1:10">
      <c r="A393" s="19" t="s">
        <v>34</v>
      </c>
      <c r="B393" s="20"/>
      <c r="C393" s="20"/>
      <c r="D393" s="20"/>
      <c r="E393" s="20"/>
      <c r="F393" s="20"/>
      <c r="G393" s="20"/>
      <c r="H393" s="20"/>
      <c r="I393" s="20"/>
      <c r="J393" s="18">
        <f>SUM(J383:J392)</f>
        <v>0</v>
      </c>
    </row>
    <row r="401" spans="1:10">
      <c r="A401">
        <f>重复匹配率!B422</f>
        <v>0</v>
      </c>
    </row>
    <row r="402" ht="24" spans="1:10">
      <c r="A402" s="13">
        <f>重复匹配率!A425</f>
        <v>0</v>
      </c>
      <c r="B402" s="13">
        <f>重复匹配率!B425</f>
        <v>0</v>
      </c>
      <c r="C402" s="13">
        <f>重复匹配率!C425</f>
        <v>0</v>
      </c>
      <c r="D402" s="13">
        <f>重复匹配率!D425</f>
        <v>0</v>
      </c>
      <c r="E402" s="13">
        <f>重复匹配率!E425</f>
        <v>0</v>
      </c>
      <c r="F402" s="13">
        <f>重复匹配率!F425</f>
        <v>0</v>
      </c>
      <c r="G402" s="13">
        <f>重复匹配率!G425</f>
        <v>0</v>
      </c>
      <c r="H402" s="13">
        <f>重复匹配率!H425</f>
        <v>0</v>
      </c>
      <c r="I402" s="14" t="s">
        <v>32</v>
      </c>
      <c r="J402" s="15" t="s">
        <v>33</v>
      </c>
    </row>
    <row r="403" spans="1:10">
      <c r="A403" s="16">
        <f>重复匹配率!A426</f>
        <v>0</v>
      </c>
      <c r="B403" s="16">
        <f>重复匹配率!B426</f>
        <v>0</v>
      </c>
      <c r="C403" s="16">
        <f>重复匹配率!C426</f>
        <v>0</v>
      </c>
      <c r="D403" s="16">
        <f>重复匹配率!D426</f>
        <v>0</v>
      </c>
      <c r="E403" s="16">
        <f>重复匹配率!E426</f>
        <v>0</v>
      </c>
      <c r="F403" s="16">
        <f>重复匹配率!F426</f>
        <v>0</v>
      </c>
      <c r="G403" s="16">
        <f>重复匹配率!G426</f>
        <v>0</v>
      </c>
      <c r="H403" s="16">
        <f>重复匹配率!H426</f>
        <v>0</v>
      </c>
      <c r="I403" s="17">
        <v>0</v>
      </c>
      <c r="J403" s="18">
        <f t="shared" ref="J403:J412" si="20">E403*I403</f>
        <v>0</v>
      </c>
    </row>
    <row r="404" spans="1:10">
      <c r="A404" s="16">
        <f>重复匹配率!A427</f>
        <v>0</v>
      </c>
      <c r="B404" s="16">
        <f>重复匹配率!B427</f>
        <v>0</v>
      </c>
      <c r="C404" s="16">
        <f>重复匹配率!C427</f>
        <v>0</v>
      </c>
      <c r="D404" s="16">
        <f>重复匹配率!D427</f>
        <v>0</v>
      </c>
      <c r="E404" s="16">
        <f>重复匹配率!E427</f>
        <v>0</v>
      </c>
      <c r="F404" s="16">
        <f>重复匹配率!F427</f>
        <v>0</v>
      </c>
      <c r="G404" s="16">
        <f>重复匹配率!G427</f>
        <v>0</v>
      </c>
      <c r="H404" s="16">
        <f>重复匹配率!H427</f>
        <v>0</v>
      </c>
      <c r="I404" s="17">
        <v>0</v>
      </c>
      <c r="J404" s="18">
        <f t="shared" si="20"/>
        <v>0</v>
      </c>
    </row>
    <row r="405" spans="1:10">
      <c r="A405" s="16">
        <f>重复匹配率!A428</f>
        <v>0</v>
      </c>
      <c r="B405" s="16">
        <f>重复匹配率!B428</f>
        <v>0</v>
      </c>
      <c r="C405" s="16">
        <f>重复匹配率!C428</f>
        <v>0</v>
      </c>
      <c r="D405" s="16">
        <f>重复匹配率!D428</f>
        <v>0</v>
      </c>
      <c r="E405" s="16">
        <f>重复匹配率!E428</f>
        <v>0</v>
      </c>
      <c r="F405" s="16">
        <f>重复匹配率!F428</f>
        <v>0</v>
      </c>
      <c r="G405" s="16">
        <f>重复匹配率!G428</f>
        <v>0</v>
      </c>
      <c r="H405" s="16">
        <f>重复匹配率!H428</f>
        <v>0</v>
      </c>
      <c r="I405" s="17">
        <v>0.1</v>
      </c>
      <c r="J405" s="18">
        <f t="shared" si="20"/>
        <v>0</v>
      </c>
    </row>
    <row r="406" spans="1:10">
      <c r="A406" s="16">
        <f>重复匹配率!A429</f>
        <v>0</v>
      </c>
      <c r="B406" s="16">
        <f>重复匹配率!B429</f>
        <v>0</v>
      </c>
      <c r="C406" s="16">
        <f>重复匹配率!C429</f>
        <v>0</v>
      </c>
      <c r="D406" s="16">
        <f>重复匹配率!D429</f>
        <v>0</v>
      </c>
      <c r="E406" s="16">
        <f>重复匹配率!E429</f>
        <v>0</v>
      </c>
      <c r="F406" s="16">
        <f>重复匹配率!F429</f>
        <v>0</v>
      </c>
      <c r="G406" s="16">
        <f>重复匹配率!G429</f>
        <v>0</v>
      </c>
      <c r="H406" s="16">
        <f>重复匹配率!H429</f>
        <v>0</v>
      </c>
      <c r="I406" s="17">
        <v>0</v>
      </c>
      <c r="J406" s="18">
        <f t="shared" si="20"/>
        <v>0</v>
      </c>
    </row>
    <row r="407" spans="1:10">
      <c r="A407" s="16">
        <f>重复匹配率!A430</f>
        <v>0</v>
      </c>
      <c r="B407" s="16">
        <f>重复匹配率!B430</f>
        <v>0</v>
      </c>
      <c r="C407" s="16">
        <f>重复匹配率!C430</f>
        <v>0</v>
      </c>
      <c r="D407" s="16">
        <f>重复匹配率!D430</f>
        <v>0</v>
      </c>
      <c r="E407" s="16">
        <f>重复匹配率!E430</f>
        <v>0</v>
      </c>
      <c r="F407" s="16">
        <f>重复匹配率!F430</f>
        <v>0</v>
      </c>
      <c r="G407" s="16">
        <f>重复匹配率!G430</f>
        <v>0</v>
      </c>
      <c r="H407" s="16">
        <f>重复匹配率!H430</f>
        <v>0</v>
      </c>
      <c r="I407" s="17">
        <v>0.2</v>
      </c>
      <c r="J407" s="18">
        <f t="shared" si="20"/>
        <v>0</v>
      </c>
    </row>
    <row r="408" spans="1:10">
      <c r="A408" s="16">
        <f>重复匹配率!A431</f>
        <v>0</v>
      </c>
      <c r="B408" s="16">
        <f>重复匹配率!B431</f>
        <v>0</v>
      </c>
      <c r="C408" s="16">
        <f>重复匹配率!C431</f>
        <v>0</v>
      </c>
      <c r="D408" s="16">
        <f>重复匹配率!D431</f>
        <v>0</v>
      </c>
      <c r="E408" s="16">
        <f>重复匹配率!E431</f>
        <v>0</v>
      </c>
      <c r="F408" s="16">
        <f>重复匹配率!F431</f>
        <v>0</v>
      </c>
      <c r="G408" s="16">
        <f>重复匹配率!G431</f>
        <v>0</v>
      </c>
      <c r="H408" s="16">
        <f>重复匹配率!H431</f>
        <v>0</v>
      </c>
      <c r="I408" s="17">
        <v>0.3</v>
      </c>
      <c r="J408" s="18">
        <f t="shared" si="20"/>
        <v>0</v>
      </c>
    </row>
    <row r="409" spans="1:10">
      <c r="A409" s="16">
        <f>重复匹配率!A432</f>
        <v>0</v>
      </c>
      <c r="B409" s="16">
        <f>重复匹配率!B432</f>
        <v>0</v>
      </c>
      <c r="C409" s="16">
        <f>重复匹配率!C432</f>
        <v>0</v>
      </c>
      <c r="D409" s="16">
        <f>重复匹配率!D432</f>
        <v>0</v>
      </c>
      <c r="E409" s="16">
        <f>重复匹配率!E432</f>
        <v>0</v>
      </c>
      <c r="F409" s="16">
        <f>重复匹配率!F432</f>
        <v>0</v>
      </c>
      <c r="G409" s="16">
        <f>重复匹配率!G432</f>
        <v>0</v>
      </c>
      <c r="H409" s="16">
        <f>重复匹配率!H432</f>
        <v>0</v>
      </c>
      <c r="I409" s="17">
        <v>0.5</v>
      </c>
      <c r="J409" s="18">
        <f t="shared" si="20"/>
        <v>0</v>
      </c>
    </row>
    <row r="410" spans="1:10">
      <c r="A410" s="16">
        <f>重复匹配率!A433</f>
        <v>0</v>
      </c>
      <c r="B410" s="16">
        <f>重复匹配率!B433</f>
        <v>0</v>
      </c>
      <c r="C410" s="16">
        <f>重复匹配率!C433</f>
        <v>0</v>
      </c>
      <c r="D410" s="16">
        <f>重复匹配率!D433</f>
        <v>0</v>
      </c>
      <c r="E410" s="16">
        <f>重复匹配率!E433</f>
        <v>0</v>
      </c>
      <c r="F410" s="16">
        <f>重复匹配率!F433</f>
        <v>0</v>
      </c>
      <c r="G410" s="16">
        <f>重复匹配率!G433</f>
        <v>0</v>
      </c>
      <c r="H410" s="16">
        <f>重复匹配率!H433</f>
        <v>0</v>
      </c>
      <c r="I410" s="17">
        <v>0.6</v>
      </c>
      <c r="J410" s="18">
        <f t="shared" si="20"/>
        <v>0</v>
      </c>
    </row>
    <row r="411" spans="1:10">
      <c r="A411" s="16">
        <f>重复匹配率!A434</f>
        <v>0</v>
      </c>
      <c r="B411" s="16">
        <f>重复匹配率!B434</f>
        <v>0</v>
      </c>
      <c r="C411" s="16">
        <f>重复匹配率!C434</f>
        <v>0</v>
      </c>
      <c r="D411" s="16">
        <f>重复匹配率!D434</f>
        <v>0</v>
      </c>
      <c r="E411" s="16">
        <f>重复匹配率!E434</f>
        <v>0</v>
      </c>
      <c r="F411" s="16">
        <f>重复匹配率!F434</f>
        <v>0</v>
      </c>
      <c r="G411" s="16">
        <f>重复匹配率!G434</f>
        <v>0</v>
      </c>
      <c r="H411" s="16">
        <f>重复匹配率!H434</f>
        <v>0</v>
      </c>
      <c r="I411" s="17">
        <v>1</v>
      </c>
      <c r="J411" s="18">
        <f t="shared" si="20"/>
        <v>0</v>
      </c>
    </row>
    <row r="412" spans="1:10">
      <c r="A412" s="16">
        <f>重复匹配率!A435</f>
        <v>0</v>
      </c>
      <c r="B412" s="16">
        <f>重复匹配率!B435</f>
        <v>0</v>
      </c>
      <c r="C412" s="16">
        <f>重复匹配率!C435</f>
        <v>0</v>
      </c>
      <c r="D412" s="16">
        <f>重复匹配率!D435</f>
        <v>0</v>
      </c>
      <c r="E412" s="16">
        <f>重复匹配率!E435</f>
        <v>0</v>
      </c>
      <c r="F412" s="16">
        <f>重复匹配率!F435</f>
        <v>0</v>
      </c>
      <c r="G412" s="16">
        <f>重复匹配率!G435</f>
        <v>0</v>
      </c>
      <c r="H412" s="16">
        <f>重复匹配率!H435</f>
        <v>0</v>
      </c>
      <c r="I412" s="17">
        <v>1</v>
      </c>
      <c r="J412" s="18">
        <f t="shared" si="20"/>
        <v>0</v>
      </c>
    </row>
    <row r="413" spans="1:10">
      <c r="A413" s="19" t="s">
        <v>34</v>
      </c>
      <c r="B413" s="20"/>
      <c r="C413" s="20"/>
      <c r="D413" s="20"/>
      <c r="E413" s="20"/>
      <c r="F413" s="20"/>
      <c r="G413" s="20"/>
      <c r="H413" s="20"/>
      <c r="I413" s="20"/>
      <c r="J413" s="18">
        <f>SUM(J403:J412)</f>
        <v>0</v>
      </c>
    </row>
    <row r="421" spans="1:10">
      <c r="A421">
        <f>重复匹配率!B442</f>
        <v>0</v>
      </c>
    </row>
    <row r="422" ht="24" spans="1:10">
      <c r="A422" s="13">
        <f>重复匹配率!A445</f>
        <v>0</v>
      </c>
      <c r="B422" s="13">
        <f>重复匹配率!B445</f>
        <v>0</v>
      </c>
      <c r="C422" s="13">
        <f>重复匹配率!C445</f>
        <v>0</v>
      </c>
      <c r="D422" s="13">
        <f>重复匹配率!D445</f>
        <v>0</v>
      </c>
      <c r="E422" s="13">
        <f>重复匹配率!E445</f>
        <v>0</v>
      </c>
      <c r="F422" s="13">
        <f>重复匹配率!F445</f>
        <v>0</v>
      </c>
      <c r="G422" s="13">
        <f>重复匹配率!G445</f>
        <v>0</v>
      </c>
      <c r="H422" s="13">
        <f>重复匹配率!H445</f>
        <v>0</v>
      </c>
      <c r="I422" s="14" t="s">
        <v>32</v>
      </c>
      <c r="J422" s="15" t="s">
        <v>33</v>
      </c>
    </row>
    <row r="423" spans="1:10">
      <c r="A423" s="16">
        <f>重复匹配率!A446</f>
        <v>0</v>
      </c>
      <c r="B423" s="16">
        <f>重复匹配率!B446</f>
        <v>0</v>
      </c>
      <c r="C423" s="16">
        <f>重复匹配率!C446</f>
        <v>0</v>
      </c>
      <c r="D423" s="16">
        <f>重复匹配率!D446</f>
        <v>0</v>
      </c>
      <c r="E423" s="16">
        <f>重复匹配率!E446</f>
        <v>0</v>
      </c>
      <c r="F423" s="16">
        <f>重复匹配率!F446</f>
        <v>0</v>
      </c>
      <c r="G423" s="16">
        <f>重复匹配率!G446</f>
        <v>0</v>
      </c>
      <c r="H423" s="16">
        <f>重复匹配率!H446</f>
        <v>0</v>
      </c>
      <c r="I423" s="17">
        <v>0</v>
      </c>
      <c r="J423" s="18">
        <f t="shared" ref="J423:J432" si="21">E423*I423</f>
        <v>0</v>
      </c>
    </row>
    <row r="424" spans="1:10">
      <c r="A424" s="16">
        <f>重复匹配率!A447</f>
        <v>0</v>
      </c>
      <c r="B424" s="16">
        <f>重复匹配率!B447</f>
        <v>0</v>
      </c>
      <c r="C424" s="16">
        <f>重复匹配率!C447</f>
        <v>0</v>
      </c>
      <c r="D424" s="16">
        <f>重复匹配率!D447</f>
        <v>0</v>
      </c>
      <c r="E424" s="16">
        <f>重复匹配率!E447</f>
        <v>0</v>
      </c>
      <c r="F424" s="16">
        <f>重复匹配率!F447</f>
        <v>0</v>
      </c>
      <c r="G424" s="16">
        <f>重复匹配率!G447</f>
        <v>0</v>
      </c>
      <c r="H424" s="16">
        <f>重复匹配率!H447</f>
        <v>0</v>
      </c>
      <c r="I424" s="17">
        <v>0</v>
      </c>
      <c r="J424" s="18">
        <f t="shared" si="21"/>
        <v>0</v>
      </c>
    </row>
    <row r="425" spans="1:10">
      <c r="A425" s="16">
        <f>重复匹配率!A448</f>
        <v>0</v>
      </c>
      <c r="B425" s="16">
        <f>重复匹配率!B448</f>
        <v>0</v>
      </c>
      <c r="C425" s="16">
        <f>重复匹配率!C448</f>
        <v>0</v>
      </c>
      <c r="D425" s="16">
        <f>重复匹配率!D448</f>
        <v>0</v>
      </c>
      <c r="E425" s="16">
        <f>重复匹配率!E448</f>
        <v>0</v>
      </c>
      <c r="F425" s="16">
        <f>重复匹配率!F448</f>
        <v>0</v>
      </c>
      <c r="G425" s="16">
        <f>重复匹配率!G448</f>
        <v>0</v>
      </c>
      <c r="H425" s="16">
        <f>重复匹配率!H448</f>
        <v>0</v>
      </c>
      <c r="I425" s="17">
        <v>0.1</v>
      </c>
      <c r="J425" s="18">
        <f t="shared" si="21"/>
        <v>0</v>
      </c>
    </row>
    <row r="426" spans="1:10">
      <c r="A426" s="16">
        <f>重复匹配率!A449</f>
        <v>0</v>
      </c>
      <c r="B426" s="16">
        <f>重复匹配率!B449</f>
        <v>0</v>
      </c>
      <c r="C426" s="16">
        <f>重复匹配率!C449</f>
        <v>0</v>
      </c>
      <c r="D426" s="16">
        <f>重复匹配率!D449</f>
        <v>0</v>
      </c>
      <c r="E426" s="16">
        <f>重复匹配率!E449</f>
        <v>0</v>
      </c>
      <c r="F426" s="16">
        <f>重复匹配率!F449</f>
        <v>0</v>
      </c>
      <c r="G426" s="16">
        <f>重复匹配率!G449</f>
        <v>0</v>
      </c>
      <c r="H426" s="16">
        <f>重复匹配率!H449</f>
        <v>0</v>
      </c>
      <c r="I426" s="17">
        <v>0</v>
      </c>
      <c r="J426" s="18">
        <f t="shared" si="21"/>
        <v>0</v>
      </c>
    </row>
    <row r="427" spans="1:10">
      <c r="A427" s="16">
        <f>重复匹配率!A450</f>
        <v>0</v>
      </c>
      <c r="B427" s="16">
        <f>重复匹配率!B450</f>
        <v>0</v>
      </c>
      <c r="C427" s="16">
        <f>重复匹配率!C450</f>
        <v>0</v>
      </c>
      <c r="D427" s="16">
        <f>重复匹配率!D450</f>
        <v>0</v>
      </c>
      <c r="E427" s="16">
        <f>重复匹配率!E450</f>
        <v>0</v>
      </c>
      <c r="F427" s="16">
        <f>重复匹配率!F450</f>
        <v>0</v>
      </c>
      <c r="G427" s="16">
        <f>重复匹配率!G450</f>
        <v>0</v>
      </c>
      <c r="H427" s="16">
        <f>重复匹配率!H450</f>
        <v>0</v>
      </c>
      <c r="I427" s="17">
        <v>0.2</v>
      </c>
      <c r="J427" s="18">
        <f t="shared" si="21"/>
        <v>0</v>
      </c>
    </row>
    <row r="428" spans="1:10">
      <c r="A428" s="16">
        <f>重复匹配率!A451</f>
        <v>0</v>
      </c>
      <c r="B428" s="16">
        <f>重复匹配率!B451</f>
        <v>0</v>
      </c>
      <c r="C428" s="16">
        <f>重复匹配率!C451</f>
        <v>0</v>
      </c>
      <c r="D428" s="16">
        <f>重复匹配率!D451</f>
        <v>0</v>
      </c>
      <c r="E428" s="16">
        <f>重复匹配率!E451</f>
        <v>0</v>
      </c>
      <c r="F428" s="16">
        <f>重复匹配率!F451</f>
        <v>0</v>
      </c>
      <c r="G428" s="16">
        <f>重复匹配率!G451</f>
        <v>0</v>
      </c>
      <c r="H428" s="16">
        <f>重复匹配率!H451</f>
        <v>0</v>
      </c>
      <c r="I428" s="17">
        <v>0.3</v>
      </c>
      <c r="J428" s="18">
        <f t="shared" si="21"/>
        <v>0</v>
      </c>
    </row>
    <row r="429" spans="1:10">
      <c r="A429" s="16">
        <f>重复匹配率!A452</f>
        <v>0</v>
      </c>
      <c r="B429" s="16">
        <f>重复匹配率!B452</f>
        <v>0</v>
      </c>
      <c r="C429" s="16">
        <f>重复匹配率!C452</f>
        <v>0</v>
      </c>
      <c r="D429" s="16">
        <f>重复匹配率!D452</f>
        <v>0</v>
      </c>
      <c r="E429" s="16">
        <f>重复匹配率!E452</f>
        <v>0</v>
      </c>
      <c r="F429" s="16">
        <f>重复匹配率!F452</f>
        <v>0</v>
      </c>
      <c r="G429" s="16">
        <f>重复匹配率!G452</f>
        <v>0</v>
      </c>
      <c r="H429" s="16">
        <f>重复匹配率!H452</f>
        <v>0</v>
      </c>
      <c r="I429" s="17">
        <v>0.5</v>
      </c>
      <c r="J429" s="18">
        <f t="shared" si="21"/>
        <v>0</v>
      </c>
    </row>
    <row r="430" spans="1:10">
      <c r="A430" s="16">
        <f>重复匹配率!A453</f>
        <v>0</v>
      </c>
      <c r="B430" s="16">
        <f>重复匹配率!B453</f>
        <v>0</v>
      </c>
      <c r="C430" s="16">
        <f>重复匹配率!C453</f>
        <v>0</v>
      </c>
      <c r="D430" s="16">
        <f>重复匹配率!D453</f>
        <v>0</v>
      </c>
      <c r="E430" s="16">
        <f>重复匹配率!E453</f>
        <v>0</v>
      </c>
      <c r="F430" s="16">
        <f>重复匹配率!F453</f>
        <v>0</v>
      </c>
      <c r="G430" s="16">
        <f>重复匹配率!G453</f>
        <v>0</v>
      </c>
      <c r="H430" s="16">
        <f>重复匹配率!H453</f>
        <v>0</v>
      </c>
      <c r="I430" s="17">
        <v>0.6</v>
      </c>
      <c r="J430" s="18">
        <f t="shared" si="21"/>
        <v>0</v>
      </c>
    </row>
    <row r="431" spans="1:10">
      <c r="A431" s="16">
        <f>重复匹配率!A454</f>
        <v>0</v>
      </c>
      <c r="B431" s="16">
        <f>重复匹配率!B454</f>
        <v>0</v>
      </c>
      <c r="C431" s="16">
        <f>重复匹配率!C454</f>
        <v>0</v>
      </c>
      <c r="D431" s="16">
        <f>重复匹配率!D454</f>
        <v>0</v>
      </c>
      <c r="E431" s="16">
        <f>重复匹配率!E454</f>
        <v>0</v>
      </c>
      <c r="F431" s="16">
        <f>重复匹配率!F454</f>
        <v>0</v>
      </c>
      <c r="G431" s="16">
        <f>重复匹配率!G454</f>
        <v>0</v>
      </c>
      <c r="H431" s="16">
        <f>重复匹配率!H454</f>
        <v>0</v>
      </c>
      <c r="I431" s="17">
        <v>1</v>
      </c>
      <c r="J431" s="18">
        <f t="shared" si="21"/>
        <v>0</v>
      </c>
    </row>
    <row r="432" spans="1:10">
      <c r="A432" s="16">
        <f>重复匹配率!A455</f>
        <v>0</v>
      </c>
      <c r="B432" s="16">
        <f>重复匹配率!B455</f>
        <v>0</v>
      </c>
      <c r="C432" s="16">
        <f>重复匹配率!C455</f>
        <v>0</v>
      </c>
      <c r="D432" s="16">
        <f>重复匹配率!D455</f>
        <v>0</v>
      </c>
      <c r="E432" s="16">
        <f>重复匹配率!E455</f>
        <v>0</v>
      </c>
      <c r="F432" s="16">
        <f>重复匹配率!F455</f>
        <v>0</v>
      </c>
      <c r="G432" s="16">
        <f>重复匹配率!G455</f>
        <v>0</v>
      </c>
      <c r="H432" s="16">
        <f>重复匹配率!H455</f>
        <v>0</v>
      </c>
      <c r="I432" s="17">
        <v>1</v>
      </c>
      <c r="J432" s="18">
        <f t="shared" si="21"/>
        <v>0</v>
      </c>
    </row>
    <row r="433" spans="1:10">
      <c r="A433" s="19" t="s">
        <v>34</v>
      </c>
      <c r="B433" s="20"/>
      <c r="C433" s="20"/>
      <c r="D433" s="20"/>
      <c r="E433" s="20"/>
      <c r="F433" s="20"/>
      <c r="G433" s="20"/>
      <c r="H433" s="20"/>
      <c r="I433" s="20"/>
      <c r="J433" s="18">
        <f>SUM(J423:J432)</f>
        <v>0</v>
      </c>
    </row>
    <row r="441" spans="1:10">
      <c r="A441">
        <f>重复匹配率!B462</f>
        <v>0</v>
      </c>
    </row>
    <row r="442" ht="24" spans="1:10">
      <c r="A442" s="13">
        <f>重复匹配率!A465</f>
        <v>0</v>
      </c>
      <c r="B442" s="13">
        <f>重复匹配率!B465</f>
        <v>0</v>
      </c>
      <c r="C442" s="13">
        <f>重复匹配率!C465</f>
        <v>0</v>
      </c>
      <c r="D442" s="13">
        <f>重复匹配率!D465</f>
        <v>0</v>
      </c>
      <c r="E442" s="13">
        <f>重复匹配率!E465</f>
        <v>0</v>
      </c>
      <c r="F442" s="13">
        <f>重复匹配率!F465</f>
        <v>0</v>
      </c>
      <c r="G442" s="13">
        <f>重复匹配率!G465</f>
        <v>0</v>
      </c>
      <c r="H442" s="13">
        <f>重复匹配率!H465</f>
        <v>0</v>
      </c>
      <c r="I442" s="14" t="s">
        <v>32</v>
      </c>
      <c r="J442" s="15" t="s">
        <v>33</v>
      </c>
    </row>
    <row r="443" spans="1:10">
      <c r="A443" s="16">
        <f>重复匹配率!A466</f>
        <v>0</v>
      </c>
      <c r="B443" s="16">
        <f>重复匹配率!B466</f>
        <v>0</v>
      </c>
      <c r="C443" s="16">
        <f>重复匹配率!C466</f>
        <v>0</v>
      </c>
      <c r="D443" s="16">
        <f>重复匹配率!D466</f>
        <v>0</v>
      </c>
      <c r="E443" s="16">
        <f>重复匹配率!E466</f>
        <v>0</v>
      </c>
      <c r="F443" s="16">
        <f>重复匹配率!F466</f>
        <v>0</v>
      </c>
      <c r="G443" s="16">
        <f>重复匹配率!G466</f>
        <v>0</v>
      </c>
      <c r="H443" s="16">
        <f>重复匹配率!H466</f>
        <v>0</v>
      </c>
      <c r="I443" s="17">
        <v>0</v>
      </c>
      <c r="J443" s="18">
        <f t="shared" ref="J443:J452" si="22">E443*I443</f>
        <v>0</v>
      </c>
    </row>
    <row r="444" spans="1:10">
      <c r="A444" s="16">
        <f>重复匹配率!A467</f>
        <v>0</v>
      </c>
      <c r="B444" s="16">
        <f>重复匹配率!B467</f>
        <v>0</v>
      </c>
      <c r="C444" s="16">
        <f>重复匹配率!C467</f>
        <v>0</v>
      </c>
      <c r="D444" s="16">
        <f>重复匹配率!D467</f>
        <v>0</v>
      </c>
      <c r="E444" s="16">
        <f>重复匹配率!E467</f>
        <v>0</v>
      </c>
      <c r="F444" s="16">
        <f>重复匹配率!F467</f>
        <v>0</v>
      </c>
      <c r="G444" s="16">
        <f>重复匹配率!G467</f>
        <v>0</v>
      </c>
      <c r="H444" s="16">
        <f>重复匹配率!H467</f>
        <v>0</v>
      </c>
      <c r="I444" s="17">
        <v>0</v>
      </c>
      <c r="J444" s="18">
        <f t="shared" si="22"/>
        <v>0</v>
      </c>
    </row>
    <row r="445" spans="1:10">
      <c r="A445" s="16">
        <f>重复匹配率!A468</f>
        <v>0</v>
      </c>
      <c r="B445" s="16">
        <f>重复匹配率!B468</f>
        <v>0</v>
      </c>
      <c r="C445" s="16">
        <f>重复匹配率!C468</f>
        <v>0</v>
      </c>
      <c r="D445" s="16">
        <f>重复匹配率!D468</f>
        <v>0</v>
      </c>
      <c r="E445" s="16">
        <f>重复匹配率!E468</f>
        <v>0</v>
      </c>
      <c r="F445" s="16">
        <f>重复匹配率!F468</f>
        <v>0</v>
      </c>
      <c r="G445" s="16">
        <f>重复匹配率!G468</f>
        <v>0</v>
      </c>
      <c r="H445" s="16">
        <f>重复匹配率!H468</f>
        <v>0</v>
      </c>
      <c r="I445" s="17">
        <v>0.1</v>
      </c>
      <c r="J445" s="18">
        <f t="shared" si="22"/>
        <v>0</v>
      </c>
    </row>
    <row r="446" spans="1:10">
      <c r="A446" s="16">
        <f>重复匹配率!A469</f>
        <v>0</v>
      </c>
      <c r="B446" s="16">
        <f>重复匹配率!B469</f>
        <v>0</v>
      </c>
      <c r="C446" s="16">
        <f>重复匹配率!C469</f>
        <v>0</v>
      </c>
      <c r="D446" s="16">
        <f>重复匹配率!D469</f>
        <v>0</v>
      </c>
      <c r="E446" s="16">
        <f>重复匹配率!E469</f>
        <v>0</v>
      </c>
      <c r="F446" s="16">
        <f>重复匹配率!F469</f>
        <v>0</v>
      </c>
      <c r="G446" s="16">
        <f>重复匹配率!G469</f>
        <v>0</v>
      </c>
      <c r="H446" s="16">
        <f>重复匹配率!H469</f>
        <v>0</v>
      </c>
      <c r="I446" s="17">
        <v>0</v>
      </c>
      <c r="J446" s="18">
        <f t="shared" si="22"/>
        <v>0</v>
      </c>
    </row>
    <row r="447" spans="1:10">
      <c r="A447" s="16">
        <f>重复匹配率!A470</f>
        <v>0</v>
      </c>
      <c r="B447" s="16">
        <f>重复匹配率!B470</f>
        <v>0</v>
      </c>
      <c r="C447" s="16">
        <f>重复匹配率!C470</f>
        <v>0</v>
      </c>
      <c r="D447" s="16">
        <f>重复匹配率!D470</f>
        <v>0</v>
      </c>
      <c r="E447" s="16">
        <f>重复匹配率!E470</f>
        <v>0</v>
      </c>
      <c r="F447" s="16">
        <f>重复匹配率!F470</f>
        <v>0</v>
      </c>
      <c r="G447" s="16">
        <f>重复匹配率!G470</f>
        <v>0</v>
      </c>
      <c r="H447" s="16">
        <f>重复匹配率!H470</f>
        <v>0</v>
      </c>
      <c r="I447" s="17">
        <v>0.2</v>
      </c>
      <c r="J447" s="18">
        <f t="shared" si="22"/>
        <v>0</v>
      </c>
    </row>
    <row r="448" spans="1:10">
      <c r="A448" s="16">
        <f>重复匹配率!A471</f>
        <v>0</v>
      </c>
      <c r="B448" s="16">
        <f>重复匹配率!B471</f>
        <v>0</v>
      </c>
      <c r="C448" s="16">
        <f>重复匹配率!C471</f>
        <v>0</v>
      </c>
      <c r="D448" s="16">
        <f>重复匹配率!D471</f>
        <v>0</v>
      </c>
      <c r="E448" s="16">
        <f>重复匹配率!E471</f>
        <v>0</v>
      </c>
      <c r="F448" s="16">
        <f>重复匹配率!F471</f>
        <v>0</v>
      </c>
      <c r="G448" s="16">
        <f>重复匹配率!G471</f>
        <v>0</v>
      </c>
      <c r="H448" s="16">
        <f>重复匹配率!H471</f>
        <v>0</v>
      </c>
      <c r="I448" s="17">
        <v>0.3</v>
      </c>
      <c r="J448" s="18">
        <f t="shared" si="22"/>
        <v>0</v>
      </c>
    </row>
    <row r="449" spans="1:10">
      <c r="A449" s="16">
        <f>重复匹配率!A472</f>
        <v>0</v>
      </c>
      <c r="B449" s="16">
        <f>重复匹配率!B472</f>
        <v>0</v>
      </c>
      <c r="C449" s="16">
        <f>重复匹配率!C472</f>
        <v>0</v>
      </c>
      <c r="D449" s="16">
        <f>重复匹配率!D472</f>
        <v>0</v>
      </c>
      <c r="E449" s="16">
        <f>重复匹配率!E472</f>
        <v>0</v>
      </c>
      <c r="F449" s="16">
        <f>重复匹配率!F472</f>
        <v>0</v>
      </c>
      <c r="G449" s="16">
        <f>重复匹配率!G472</f>
        <v>0</v>
      </c>
      <c r="H449" s="16">
        <f>重复匹配率!H472</f>
        <v>0</v>
      </c>
      <c r="I449" s="17">
        <v>0.5</v>
      </c>
      <c r="J449" s="18">
        <f t="shared" si="22"/>
        <v>0</v>
      </c>
    </row>
    <row r="450" spans="1:10">
      <c r="A450" s="16">
        <f>重复匹配率!A473</f>
        <v>0</v>
      </c>
      <c r="B450" s="16">
        <f>重复匹配率!B473</f>
        <v>0</v>
      </c>
      <c r="C450" s="16">
        <f>重复匹配率!C473</f>
        <v>0</v>
      </c>
      <c r="D450" s="16">
        <f>重复匹配率!D473</f>
        <v>0</v>
      </c>
      <c r="E450" s="16">
        <f>重复匹配率!E473</f>
        <v>0</v>
      </c>
      <c r="F450" s="16">
        <f>重复匹配率!F473</f>
        <v>0</v>
      </c>
      <c r="G450" s="16">
        <f>重复匹配率!G473</f>
        <v>0</v>
      </c>
      <c r="H450" s="16">
        <f>重复匹配率!H473</f>
        <v>0</v>
      </c>
      <c r="I450" s="17">
        <v>0.6</v>
      </c>
      <c r="J450" s="18">
        <f t="shared" si="22"/>
        <v>0</v>
      </c>
    </row>
    <row r="451" spans="1:10">
      <c r="A451" s="16">
        <f>重复匹配率!A474</f>
        <v>0</v>
      </c>
      <c r="B451" s="16">
        <f>重复匹配率!B474</f>
        <v>0</v>
      </c>
      <c r="C451" s="16">
        <f>重复匹配率!C474</f>
        <v>0</v>
      </c>
      <c r="D451" s="16">
        <f>重复匹配率!D474</f>
        <v>0</v>
      </c>
      <c r="E451" s="16">
        <f>重复匹配率!E474</f>
        <v>0</v>
      </c>
      <c r="F451" s="16">
        <f>重复匹配率!F474</f>
        <v>0</v>
      </c>
      <c r="G451" s="16">
        <f>重复匹配率!G474</f>
        <v>0</v>
      </c>
      <c r="H451" s="16">
        <f>重复匹配率!H474</f>
        <v>0</v>
      </c>
      <c r="I451" s="17">
        <v>1</v>
      </c>
      <c r="J451" s="18">
        <f t="shared" si="22"/>
        <v>0</v>
      </c>
    </row>
    <row r="452" spans="1:10">
      <c r="A452" s="16">
        <f>重复匹配率!A475</f>
        <v>0</v>
      </c>
      <c r="B452" s="16">
        <f>重复匹配率!B475</f>
        <v>0</v>
      </c>
      <c r="C452" s="16">
        <f>重复匹配率!C475</f>
        <v>0</v>
      </c>
      <c r="D452" s="16">
        <f>重复匹配率!D475</f>
        <v>0</v>
      </c>
      <c r="E452" s="16">
        <f>重复匹配率!E475</f>
        <v>0</v>
      </c>
      <c r="F452" s="16">
        <f>重复匹配率!F475</f>
        <v>0</v>
      </c>
      <c r="G452" s="16">
        <f>重复匹配率!G475</f>
        <v>0</v>
      </c>
      <c r="H452" s="16">
        <f>重复匹配率!H475</f>
        <v>0</v>
      </c>
      <c r="I452" s="17">
        <v>1</v>
      </c>
      <c r="J452" s="18">
        <f t="shared" si="22"/>
        <v>0</v>
      </c>
    </row>
    <row r="453" spans="1:10">
      <c r="A453" s="19" t="s">
        <v>34</v>
      </c>
      <c r="B453" s="20"/>
      <c r="C453" s="20"/>
      <c r="D453" s="20"/>
      <c r="E453" s="20"/>
      <c r="F453" s="20"/>
      <c r="G453" s="20"/>
      <c r="H453" s="20"/>
      <c r="I453" s="20"/>
      <c r="J453" s="18">
        <f>SUM(J443:J452)</f>
        <v>0</v>
      </c>
    </row>
    <row r="461" spans="1:10">
      <c r="A461">
        <f>重复匹配率!B482</f>
        <v>0</v>
      </c>
    </row>
    <row r="462" ht="24" spans="1:10">
      <c r="A462" s="13">
        <f>重复匹配率!A485</f>
        <v>0</v>
      </c>
      <c r="B462" s="13">
        <f>重复匹配率!B485</f>
        <v>0</v>
      </c>
      <c r="C462" s="13">
        <f>重复匹配率!C485</f>
        <v>0</v>
      </c>
      <c r="D462" s="13">
        <f>重复匹配率!D485</f>
        <v>0</v>
      </c>
      <c r="E462" s="13">
        <f>重复匹配率!E485</f>
        <v>0</v>
      </c>
      <c r="F462" s="13">
        <f>重复匹配率!F485</f>
        <v>0</v>
      </c>
      <c r="G462" s="13">
        <f>重复匹配率!G485</f>
        <v>0</v>
      </c>
      <c r="H462" s="13">
        <f>重复匹配率!H485</f>
        <v>0</v>
      </c>
      <c r="I462" s="14" t="s">
        <v>32</v>
      </c>
      <c r="J462" s="15" t="s">
        <v>33</v>
      </c>
    </row>
    <row r="463" spans="1:10">
      <c r="A463" s="16">
        <f>重复匹配率!A486</f>
        <v>0</v>
      </c>
      <c r="B463" s="16">
        <f>重复匹配率!B486</f>
        <v>0</v>
      </c>
      <c r="C463" s="16">
        <f>重复匹配率!C486</f>
        <v>0</v>
      </c>
      <c r="D463" s="16">
        <f>重复匹配率!D486</f>
        <v>0</v>
      </c>
      <c r="E463" s="16">
        <f>重复匹配率!E486</f>
        <v>0</v>
      </c>
      <c r="F463" s="16">
        <f>重复匹配率!F486</f>
        <v>0</v>
      </c>
      <c r="G463" s="16">
        <f>重复匹配率!G486</f>
        <v>0</v>
      </c>
      <c r="H463" s="16">
        <f>重复匹配率!H486</f>
        <v>0</v>
      </c>
      <c r="I463" s="17">
        <v>0</v>
      </c>
      <c r="J463" s="18">
        <f t="shared" ref="J463:J472" si="23">E463*I463</f>
        <v>0</v>
      </c>
    </row>
    <row r="464" spans="1:10">
      <c r="A464" s="16">
        <f>重复匹配率!A487</f>
        <v>0</v>
      </c>
      <c r="B464" s="16">
        <f>重复匹配率!B487</f>
        <v>0</v>
      </c>
      <c r="C464" s="16">
        <f>重复匹配率!C487</f>
        <v>0</v>
      </c>
      <c r="D464" s="16">
        <f>重复匹配率!D487</f>
        <v>0</v>
      </c>
      <c r="E464" s="16">
        <f>重复匹配率!E487</f>
        <v>0</v>
      </c>
      <c r="F464" s="16">
        <f>重复匹配率!F487</f>
        <v>0</v>
      </c>
      <c r="G464" s="16">
        <f>重复匹配率!G487</f>
        <v>0</v>
      </c>
      <c r="H464" s="16">
        <f>重复匹配率!H487</f>
        <v>0</v>
      </c>
      <c r="I464" s="17">
        <v>0</v>
      </c>
      <c r="J464" s="18">
        <f t="shared" si="23"/>
        <v>0</v>
      </c>
    </row>
    <row r="465" spans="1:10">
      <c r="A465" s="16">
        <f>重复匹配率!A488</f>
        <v>0</v>
      </c>
      <c r="B465" s="16">
        <f>重复匹配率!B488</f>
        <v>0</v>
      </c>
      <c r="C465" s="16">
        <f>重复匹配率!C488</f>
        <v>0</v>
      </c>
      <c r="D465" s="16">
        <f>重复匹配率!D488</f>
        <v>0</v>
      </c>
      <c r="E465" s="16">
        <f>重复匹配率!E488</f>
        <v>0</v>
      </c>
      <c r="F465" s="16">
        <f>重复匹配率!F488</f>
        <v>0</v>
      </c>
      <c r="G465" s="16">
        <f>重复匹配率!G488</f>
        <v>0</v>
      </c>
      <c r="H465" s="16">
        <f>重复匹配率!H488</f>
        <v>0</v>
      </c>
      <c r="I465" s="17">
        <v>0.1</v>
      </c>
      <c r="J465" s="18">
        <f t="shared" si="23"/>
        <v>0</v>
      </c>
    </row>
    <row r="466" spans="1:10">
      <c r="A466" s="16">
        <f>重复匹配率!A489</f>
        <v>0</v>
      </c>
      <c r="B466" s="16">
        <f>重复匹配率!B489</f>
        <v>0</v>
      </c>
      <c r="C466" s="16">
        <f>重复匹配率!C489</f>
        <v>0</v>
      </c>
      <c r="D466" s="16">
        <f>重复匹配率!D489</f>
        <v>0</v>
      </c>
      <c r="E466" s="16">
        <f>重复匹配率!E489</f>
        <v>0</v>
      </c>
      <c r="F466" s="16">
        <f>重复匹配率!F489</f>
        <v>0</v>
      </c>
      <c r="G466" s="16">
        <f>重复匹配率!G489</f>
        <v>0</v>
      </c>
      <c r="H466" s="16">
        <f>重复匹配率!H489</f>
        <v>0</v>
      </c>
      <c r="I466" s="17">
        <v>0</v>
      </c>
      <c r="J466" s="18">
        <f t="shared" si="23"/>
        <v>0</v>
      </c>
    </row>
    <row r="467" spans="1:10">
      <c r="A467" s="16">
        <f>重复匹配率!A490</f>
        <v>0</v>
      </c>
      <c r="B467" s="16">
        <f>重复匹配率!B490</f>
        <v>0</v>
      </c>
      <c r="C467" s="16">
        <f>重复匹配率!C490</f>
        <v>0</v>
      </c>
      <c r="D467" s="16">
        <f>重复匹配率!D490</f>
        <v>0</v>
      </c>
      <c r="E467" s="16">
        <f>重复匹配率!E490</f>
        <v>0</v>
      </c>
      <c r="F467" s="16">
        <f>重复匹配率!F490</f>
        <v>0</v>
      </c>
      <c r="G467" s="16">
        <f>重复匹配率!G490</f>
        <v>0</v>
      </c>
      <c r="H467" s="16">
        <f>重复匹配率!H490</f>
        <v>0</v>
      </c>
      <c r="I467" s="17">
        <v>0.2</v>
      </c>
      <c r="J467" s="18">
        <f t="shared" si="23"/>
        <v>0</v>
      </c>
    </row>
    <row r="468" spans="1:10">
      <c r="A468" s="16">
        <f>重复匹配率!A491</f>
        <v>0</v>
      </c>
      <c r="B468" s="16">
        <f>重复匹配率!B491</f>
        <v>0</v>
      </c>
      <c r="C468" s="16">
        <f>重复匹配率!C491</f>
        <v>0</v>
      </c>
      <c r="D468" s="16">
        <f>重复匹配率!D491</f>
        <v>0</v>
      </c>
      <c r="E468" s="16">
        <f>重复匹配率!E491</f>
        <v>0</v>
      </c>
      <c r="F468" s="16">
        <f>重复匹配率!F491</f>
        <v>0</v>
      </c>
      <c r="G468" s="16">
        <f>重复匹配率!G491</f>
        <v>0</v>
      </c>
      <c r="H468" s="16">
        <f>重复匹配率!H491</f>
        <v>0</v>
      </c>
      <c r="I468" s="17">
        <v>0.3</v>
      </c>
      <c r="J468" s="18">
        <f t="shared" si="23"/>
        <v>0</v>
      </c>
    </row>
    <row r="469" spans="1:10">
      <c r="A469" s="16">
        <f>重复匹配率!A492</f>
        <v>0</v>
      </c>
      <c r="B469" s="16">
        <f>重复匹配率!B492</f>
        <v>0</v>
      </c>
      <c r="C469" s="16">
        <f>重复匹配率!C492</f>
        <v>0</v>
      </c>
      <c r="D469" s="16">
        <f>重复匹配率!D492</f>
        <v>0</v>
      </c>
      <c r="E469" s="16">
        <f>重复匹配率!E492</f>
        <v>0</v>
      </c>
      <c r="F469" s="16">
        <f>重复匹配率!F492</f>
        <v>0</v>
      </c>
      <c r="G469" s="16">
        <f>重复匹配率!G492</f>
        <v>0</v>
      </c>
      <c r="H469" s="16">
        <f>重复匹配率!H492</f>
        <v>0</v>
      </c>
      <c r="I469" s="17">
        <v>0.5</v>
      </c>
      <c r="J469" s="18">
        <f t="shared" si="23"/>
        <v>0</v>
      </c>
    </row>
    <row r="470" spans="1:10">
      <c r="A470" s="16">
        <f>重复匹配率!A493</f>
        <v>0</v>
      </c>
      <c r="B470" s="16">
        <f>重复匹配率!B493</f>
        <v>0</v>
      </c>
      <c r="C470" s="16">
        <f>重复匹配率!C493</f>
        <v>0</v>
      </c>
      <c r="D470" s="16">
        <f>重复匹配率!D493</f>
        <v>0</v>
      </c>
      <c r="E470" s="16">
        <f>重复匹配率!E493</f>
        <v>0</v>
      </c>
      <c r="F470" s="16">
        <f>重复匹配率!F493</f>
        <v>0</v>
      </c>
      <c r="G470" s="16">
        <f>重复匹配率!G493</f>
        <v>0</v>
      </c>
      <c r="H470" s="16">
        <f>重复匹配率!H493</f>
        <v>0</v>
      </c>
      <c r="I470" s="17">
        <v>0.6</v>
      </c>
      <c r="J470" s="18">
        <f t="shared" si="23"/>
        <v>0</v>
      </c>
    </row>
    <row r="471" spans="1:10">
      <c r="A471" s="16">
        <f>重复匹配率!A494</f>
        <v>0</v>
      </c>
      <c r="B471" s="16">
        <f>重复匹配率!B494</f>
        <v>0</v>
      </c>
      <c r="C471" s="16">
        <f>重复匹配率!C494</f>
        <v>0</v>
      </c>
      <c r="D471" s="16">
        <f>重复匹配率!D494</f>
        <v>0</v>
      </c>
      <c r="E471" s="16">
        <f>重复匹配率!E494</f>
        <v>0</v>
      </c>
      <c r="F471" s="16">
        <f>重复匹配率!F494</f>
        <v>0</v>
      </c>
      <c r="G471" s="16">
        <f>重复匹配率!G494</f>
        <v>0</v>
      </c>
      <c r="H471" s="16">
        <f>重复匹配率!H494</f>
        <v>0</v>
      </c>
      <c r="I471" s="17">
        <v>1</v>
      </c>
      <c r="J471" s="18">
        <f t="shared" si="23"/>
        <v>0</v>
      </c>
    </row>
    <row r="472" spans="1:10">
      <c r="A472" s="16">
        <f>重复匹配率!A495</f>
        <v>0</v>
      </c>
      <c r="B472" s="16">
        <f>重复匹配率!B495</f>
        <v>0</v>
      </c>
      <c r="C472" s="16">
        <f>重复匹配率!C495</f>
        <v>0</v>
      </c>
      <c r="D472" s="16">
        <f>重复匹配率!D495</f>
        <v>0</v>
      </c>
      <c r="E472" s="16">
        <f>重复匹配率!E495</f>
        <v>0</v>
      </c>
      <c r="F472" s="16">
        <f>重复匹配率!F495</f>
        <v>0</v>
      </c>
      <c r="G472" s="16">
        <f>重复匹配率!G495</f>
        <v>0</v>
      </c>
      <c r="H472" s="16">
        <f>重复匹配率!H495</f>
        <v>0</v>
      </c>
      <c r="I472" s="17">
        <v>1</v>
      </c>
      <c r="J472" s="18">
        <f t="shared" si="23"/>
        <v>0</v>
      </c>
    </row>
    <row r="473" spans="1:10">
      <c r="A473" s="19" t="s">
        <v>34</v>
      </c>
      <c r="B473" s="20"/>
      <c r="C473" s="20"/>
      <c r="D473" s="20"/>
      <c r="E473" s="20"/>
      <c r="F473" s="20"/>
      <c r="G473" s="20"/>
      <c r="H473" s="20"/>
      <c r="I473" s="20"/>
      <c r="J473" s="18">
        <f>SUM(J463:J472)</f>
        <v>0</v>
      </c>
    </row>
    <row r="481" spans="1:10">
      <c r="A481">
        <f>重复匹配率!B502</f>
        <v>0</v>
      </c>
    </row>
    <row r="482" ht="24" spans="1:10">
      <c r="A482" s="13">
        <f>重复匹配率!A505</f>
        <v>0</v>
      </c>
      <c r="B482" s="13">
        <f>重复匹配率!B505</f>
        <v>0</v>
      </c>
      <c r="C482" s="13">
        <f>重复匹配率!C505</f>
        <v>0</v>
      </c>
      <c r="D482" s="13">
        <f>重复匹配率!D505</f>
        <v>0</v>
      </c>
      <c r="E482" s="13">
        <f>重复匹配率!E505</f>
        <v>0</v>
      </c>
      <c r="F482" s="13">
        <f>重复匹配率!F505</f>
        <v>0</v>
      </c>
      <c r="G482" s="13">
        <f>重复匹配率!G505</f>
        <v>0</v>
      </c>
      <c r="H482" s="13">
        <f>重复匹配率!H505</f>
        <v>0</v>
      </c>
      <c r="I482" s="14" t="s">
        <v>32</v>
      </c>
      <c r="J482" s="15" t="s">
        <v>33</v>
      </c>
    </row>
    <row r="483" spans="1:10">
      <c r="A483" s="16">
        <f>重复匹配率!A506</f>
        <v>0</v>
      </c>
      <c r="B483" s="16">
        <f>重复匹配率!B506</f>
        <v>0</v>
      </c>
      <c r="C483" s="16">
        <f>重复匹配率!C506</f>
        <v>0</v>
      </c>
      <c r="D483" s="16">
        <f>重复匹配率!D506</f>
        <v>0</v>
      </c>
      <c r="E483" s="16">
        <f>重复匹配率!E506</f>
        <v>0</v>
      </c>
      <c r="F483" s="16">
        <f>重复匹配率!F506</f>
        <v>0</v>
      </c>
      <c r="G483" s="16">
        <f>重复匹配率!G506</f>
        <v>0</v>
      </c>
      <c r="H483" s="16">
        <f>重复匹配率!H506</f>
        <v>0</v>
      </c>
      <c r="I483" s="17">
        <v>0</v>
      </c>
      <c r="J483" s="18">
        <f t="shared" ref="J483:J492" si="24">E483*I483</f>
        <v>0</v>
      </c>
    </row>
    <row r="484" spans="1:10">
      <c r="A484" s="16">
        <f>重复匹配率!A507</f>
        <v>0</v>
      </c>
      <c r="B484" s="16">
        <f>重复匹配率!B507</f>
        <v>0</v>
      </c>
      <c r="C484" s="16">
        <f>重复匹配率!C507</f>
        <v>0</v>
      </c>
      <c r="D484" s="16">
        <f>重复匹配率!D507</f>
        <v>0</v>
      </c>
      <c r="E484" s="16">
        <f>重复匹配率!E507</f>
        <v>0</v>
      </c>
      <c r="F484" s="16">
        <f>重复匹配率!F507</f>
        <v>0</v>
      </c>
      <c r="G484" s="16">
        <f>重复匹配率!G507</f>
        <v>0</v>
      </c>
      <c r="H484" s="16">
        <f>重复匹配率!H507</f>
        <v>0</v>
      </c>
      <c r="I484" s="17">
        <v>0</v>
      </c>
      <c r="J484" s="18">
        <f t="shared" si="24"/>
        <v>0</v>
      </c>
    </row>
    <row r="485" spans="1:10">
      <c r="A485" s="16">
        <f>重复匹配率!A508</f>
        <v>0</v>
      </c>
      <c r="B485" s="16">
        <f>重复匹配率!B508</f>
        <v>0</v>
      </c>
      <c r="C485" s="16">
        <f>重复匹配率!C508</f>
        <v>0</v>
      </c>
      <c r="D485" s="16">
        <f>重复匹配率!D508</f>
        <v>0</v>
      </c>
      <c r="E485" s="16">
        <f>重复匹配率!E508</f>
        <v>0</v>
      </c>
      <c r="F485" s="16">
        <f>重复匹配率!F508</f>
        <v>0</v>
      </c>
      <c r="G485" s="16">
        <f>重复匹配率!G508</f>
        <v>0</v>
      </c>
      <c r="H485" s="16">
        <f>重复匹配率!H508</f>
        <v>0</v>
      </c>
      <c r="I485" s="17">
        <v>0.1</v>
      </c>
      <c r="J485" s="18">
        <f t="shared" si="24"/>
        <v>0</v>
      </c>
    </row>
    <row r="486" spans="1:10">
      <c r="A486" s="16">
        <f>重复匹配率!A509</f>
        <v>0</v>
      </c>
      <c r="B486" s="16">
        <f>重复匹配率!B509</f>
        <v>0</v>
      </c>
      <c r="C486" s="16">
        <f>重复匹配率!C509</f>
        <v>0</v>
      </c>
      <c r="D486" s="16">
        <f>重复匹配率!D509</f>
        <v>0</v>
      </c>
      <c r="E486" s="16">
        <f>重复匹配率!E509</f>
        <v>0</v>
      </c>
      <c r="F486" s="16">
        <f>重复匹配率!F509</f>
        <v>0</v>
      </c>
      <c r="G486" s="16">
        <f>重复匹配率!G509</f>
        <v>0</v>
      </c>
      <c r="H486" s="16">
        <f>重复匹配率!H509</f>
        <v>0</v>
      </c>
      <c r="I486" s="17">
        <v>0</v>
      </c>
      <c r="J486" s="18">
        <f t="shared" si="24"/>
        <v>0</v>
      </c>
    </row>
    <row r="487" spans="1:10">
      <c r="A487" s="16">
        <f>重复匹配率!A510</f>
        <v>0</v>
      </c>
      <c r="B487" s="16">
        <f>重复匹配率!B510</f>
        <v>0</v>
      </c>
      <c r="C487" s="16">
        <f>重复匹配率!C510</f>
        <v>0</v>
      </c>
      <c r="D487" s="16">
        <f>重复匹配率!D510</f>
        <v>0</v>
      </c>
      <c r="E487" s="16">
        <f>重复匹配率!E510</f>
        <v>0</v>
      </c>
      <c r="F487" s="16">
        <f>重复匹配率!F510</f>
        <v>0</v>
      </c>
      <c r="G487" s="16">
        <f>重复匹配率!G510</f>
        <v>0</v>
      </c>
      <c r="H487" s="16">
        <f>重复匹配率!H510</f>
        <v>0</v>
      </c>
      <c r="I487" s="17">
        <v>0.2</v>
      </c>
      <c r="J487" s="18">
        <f t="shared" si="24"/>
        <v>0</v>
      </c>
    </row>
    <row r="488" spans="1:10">
      <c r="A488" s="16">
        <f>重复匹配率!A511</f>
        <v>0</v>
      </c>
      <c r="B488" s="16">
        <f>重复匹配率!B511</f>
        <v>0</v>
      </c>
      <c r="C488" s="16">
        <f>重复匹配率!C511</f>
        <v>0</v>
      </c>
      <c r="D488" s="16">
        <f>重复匹配率!D511</f>
        <v>0</v>
      </c>
      <c r="E488" s="16">
        <f>重复匹配率!E511</f>
        <v>0</v>
      </c>
      <c r="F488" s="16">
        <f>重复匹配率!F511</f>
        <v>0</v>
      </c>
      <c r="G488" s="16">
        <f>重复匹配率!G511</f>
        <v>0</v>
      </c>
      <c r="H488" s="16">
        <f>重复匹配率!H511</f>
        <v>0</v>
      </c>
      <c r="I488" s="17">
        <v>0.3</v>
      </c>
      <c r="J488" s="18">
        <f t="shared" si="24"/>
        <v>0</v>
      </c>
    </row>
    <row r="489" spans="1:10">
      <c r="A489" s="16">
        <f>重复匹配率!A512</f>
        <v>0</v>
      </c>
      <c r="B489" s="16">
        <f>重复匹配率!B512</f>
        <v>0</v>
      </c>
      <c r="C489" s="16">
        <f>重复匹配率!C512</f>
        <v>0</v>
      </c>
      <c r="D489" s="16">
        <f>重复匹配率!D512</f>
        <v>0</v>
      </c>
      <c r="E489" s="16">
        <f>重复匹配率!E512</f>
        <v>0</v>
      </c>
      <c r="F489" s="16">
        <f>重复匹配率!F512</f>
        <v>0</v>
      </c>
      <c r="G489" s="16">
        <f>重复匹配率!G512</f>
        <v>0</v>
      </c>
      <c r="H489" s="16">
        <f>重复匹配率!H512</f>
        <v>0</v>
      </c>
      <c r="I489" s="17">
        <v>0.5</v>
      </c>
      <c r="J489" s="18">
        <f t="shared" si="24"/>
        <v>0</v>
      </c>
    </row>
    <row r="490" spans="1:10">
      <c r="A490" s="16">
        <f>重复匹配率!A513</f>
        <v>0</v>
      </c>
      <c r="B490" s="16">
        <f>重复匹配率!B513</f>
        <v>0</v>
      </c>
      <c r="C490" s="16">
        <f>重复匹配率!C513</f>
        <v>0</v>
      </c>
      <c r="D490" s="16">
        <f>重复匹配率!D513</f>
        <v>0</v>
      </c>
      <c r="E490" s="16">
        <f>重复匹配率!E513</f>
        <v>0</v>
      </c>
      <c r="F490" s="16">
        <f>重复匹配率!F513</f>
        <v>0</v>
      </c>
      <c r="G490" s="16">
        <f>重复匹配率!G513</f>
        <v>0</v>
      </c>
      <c r="H490" s="16">
        <f>重复匹配率!H513</f>
        <v>0</v>
      </c>
      <c r="I490" s="17">
        <v>0.6</v>
      </c>
      <c r="J490" s="18">
        <f t="shared" si="24"/>
        <v>0</v>
      </c>
    </row>
    <row r="491" spans="1:10">
      <c r="A491" s="16">
        <f>重复匹配率!A514</f>
        <v>0</v>
      </c>
      <c r="B491" s="16">
        <f>重复匹配率!B514</f>
        <v>0</v>
      </c>
      <c r="C491" s="16">
        <f>重复匹配率!C514</f>
        <v>0</v>
      </c>
      <c r="D491" s="16">
        <f>重复匹配率!D514</f>
        <v>0</v>
      </c>
      <c r="E491" s="16">
        <f>重复匹配率!E514</f>
        <v>0</v>
      </c>
      <c r="F491" s="16">
        <f>重复匹配率!F514</f>
        <v>0</v>
      </c>
      <c r="G491" s="16">
        <f>重复匹配率!G514</f>
        <v>0</v>
      </c>
      <c r="H491" s="16">
        <f>重复匹配率!H514</f>
        <v>0</v>
      </c>
      <c r="I491" s="17">
        <v>1</v>
      </c>
      <c r="J491" s="18">
        <f t="shared" si="24"/>
        <v>0</v>
      </c>
    </row>
    <row r="492" spans="1:10">
      <c r="A492" s="16">
        <f>重复匹配率!A515</f>
        <v>0</v>
      </c>
      <c r="B492" s="16">
        <f>重复匹配率!B515</f>
        <v>0</v>
      </c>
      <c r="C492" s="16">
        <f>重复匹配率!C515</f>
        <v>0</v>
      </c>
      <c r="D492" s="16">
        <f>重复匹配率!D515</f>
        <v>0</v>
      </c>
      <c r="E492" s="16">
        <f>重复匹配率!E515</f>
        <v>0</v>
      </c>
      <c r="F492" s="16">
        <f>重复匹配率!F515</f>
        <v>0</v>
      </c>
      <c r="G492" s="16">
        <f>重复匹配率!G515</f>
        <v>0</v>
      </c>
      <c r="H492" s="16">
        <f>重复匹配率!H515</f>
        <v>0</v>
      </c>
      <c r="I492" s="17">
        <v>1</v>
      </c>
      <c r="J492" s="18">
        <f t="shared" si="24"/>
        <v>0</v>
      </c>
    </row>
    <row r="493" spans="1:10">
      <c r="A493" s="19" t="s">
        <v>34</v>
      </c>
      <c r="B493" s="20"/>
      <c r="C493" s="20"/>
      <c r="D493" s="20"/>
      <c r="E493" s="20"/>
      <c r="F493" s="20"/>
      <c r="G493" s="20"/>
      <c r="H493" s="20"/>
      <c r="I493" s="20"/>
      <c r="J493" s="18">
        <f>SUM(J483:J492)</f>
        <v>0</v>
      </c>
    </row>
    <row r="501" spans="1:10">
      <c r="A501">
        <f>重复匹配率!B522</f>
        <v>0</v>
      </c>
    </row>
    <row r="502" ht="24" spans="1:10">
      <c r="A502" s="13">
        <f>重复匹配率!A525</f>
        <v>0</v>
      </c>
      <c r="B502" s="13">
        <f>重复匹配率!B525</f>
        <v>0</v>
      </c>
      <c r="C502" s="13">
        <f>重复匹配率!C525</f>
        <v>0</v>
      </c>
      <c r="D502" s="13">
        <f>重复匹配率!D525</f>
        <v>0</v>
      </c>
      <c r="E502" s="13">
        <f>重复匹配率!E525</f>
        <v>0</v>
      </c>
      <c r="F502" s="13">
        <f>重复匹配率!F525</f>
        <v>0</v>
      </c>
      <c r="G502" s="13">
        <f>重复匹配率!G525</f>
        <v>0</v>
      </c>
      <c r="H502" s="13">
        <f>重复匹配率!H525</f>
        <v>0</v>
      </c>
      <c r="I502" s="14" t="s">
        <v>32</v>
      </c>
      <c r="J502" s="15" t="s">
        <v>33</v>
      </c>
    </row>
    <row r="503" spans="1:10">
      <c r="A503" s="16">
        <f>重复匹配率!A526</f>
        <v>0</v>
      </c>
      <c r="B503" s="16">
        <f>重复匹配率!B526</f>
        <v>0</v>
      </c>
      <c r="C503" s="16">
        <f>重复匹配率!C526</f>
        <v>0</v>
      </c>
      <c r="D503" s="16">
        <f>重复匹配率!D526</f>
        <v>0</v>
      </c>
      <c r="E503" s="16">
        <f>重复匹配率!E526</f>
        <v>0</v>
      </c>
      <c r="F503" s="16">
        <f>重复匹配率!F526</f>
        <v>0</v>
      </c>
      <c r="G503" s="16">
        <f>重复匹配率!G526</f>
        <v>0</v>
      </c>
      <c r="H503" s="16">
        <f>重复匹配率!H526</f>
        <v>0</v>
      </c>
      <c r="I503" s="17">
        <v>0</v>
      </c>
      <c r="J503" s="18">
        <f t="shared" ref="J503:J512" si="25">E503*I503</f>
        <v>0</v>
      </c>
    </row>
    <row r="504" spans="1:10">
      <c r="A504" s="16">
        <f>重复匹配率!A527</f>
        <v>0</v>
      </c>
      <c r="B504" s="16">
        <f>重复匹配率!B527</f>
        <v>0</v>
      </c>
      <c r="C504" s="16">
        <f>重复匹配率!C527</f>
        <v>0</v>
      </c>
      <c r="D504" s="16">
        <f>重复匹配率!D527</f>
        <v>0</v>
      </c>
      <c r="E504" s="16">
        <f>重复匹配率!E527</f>
        <v>0</v>
      </c>
      <c r="F504" s="16">
        <f>重复匹配率!F527</f>
        <v>0</v>
      </c>
      <c r="G504" s="16">
        <f>重复匹配率!G527</f>
        <v>0</v>
      </c>
      <c r="H504" s="16">
        <f>重复匹配率!H527</f>
        <v>0</v>
      </c>
      <c r="I504" s="17">
        <v>0</v>
      </c>
      <c r="J504" s="18">
        <f t="shared" si="25"/>
        <v>0</v>
      </c>
    </row>
    <row r="505" spans="1:10">
      <c r="A505" s="16">
        <f>重复匹配率!A528</f>
        <v>0</v>
      </c>
      <c r="B505" s="16">
        <f>重复匹配率!B528</f>
        <v>0</v>
      </c>
      <c r="C505" s="16">
        <f>重复匹配率!C528</f>
        <v>0</v>
      </c>
      <c r="D505" s="16">
        <f>重复匹配率!D528</f>
        <v>0</v>
      </c>
      <c r="E505" s="16">
        <f>重复匹配率!E528</f>
        <v>0</v>
      </c>
      <c r="F505" s="16">
        <f>重复匹配率!F528</f>
        <v>0</v>
      </c>
      <c r="G505" s="16">
        <f>重复匹配率!G528</f>
        <v>0</v>
      </c>
      <c r="H505" s="16">
        <f>重复匹配率!H528</f>
        <v>0</v>
      </c>
      <c r="I505" s="17">
        <v>0.1</v>
      </c>
      <c r="J505" s="18">
        <f t="shared" si="25"/>
        <v>0</v>
      </c>
    </row>
    <row r="506" spans="1:10">
      <c r="A506" s="16">
        <f>重复匹配率!A529</f>
        <v>0</v>
      </c>
      <c r="B506" s="16">
        <f>重复匹配率!B529</f>
        <v>0</v>
      </c>
      <c r="C506" s="16">
        <f>重复匹配率!C529</f>
        <v>0</v>
      </c>
      <c r="D506" s="16">
        <f>重复匹配率!D529</f>
        <v>0</v>
      </c>
      <c r="E506" s="16">
        <f>重复匹配率!E529</f>
        <v>0</v>
      </c>
      <c r="F506" s="16">
        <f>重复匹配率!F529</f>
        <v>0</v>
      </c>
      <c r="G506" s="16">
        <f>重复匹配率!G529</f>
        <v>0</v>
      </c>
      <c r="H506" s="16">
        <f>重复匹配率!H529</f>
        <v>0</v>
      </c>
      <c r="I506" s="17">
        <v>0</v>
      </c>
      <c r="J506" s="18">
        <f t="shared" si="25"/>
        <v>0</v>
      </c>
    </row>
    <row r="507" spans="1:10">
      <c r="A507" s="16">
        <f>重复匹配率!A530</f>
        <v>0</v>
      </c>
      <c r="B507" s="16">
        <f>重复匹配率!B530</f>
        <v>0</v>
      </c>
      <c r="C507" s="16">
        <f>重复匹配率!C530</f>
        <v>0</v>
      </c>
      <c r="D507" s="16">
        <f>重复匹配率!D530</f>
        <v>0</v>
      </c>
      <c r="E507" s="16">
        <f>重复匹配率!E530</f>
        <v>0</v>
      </c>
      <c r="F507" s="16">
        <f>重复匹配率!F530</f>
        <v>0</v>
      </c>
      <c r="G507" s="16">
        <f>重复匹配率!G530</f>
        <v>0</v>
      </c>
      <c r="H507" s="16">
        <f>重复匹配率!H530</f>
        <v>0</v>
      </c>
      <c r="I507" s="17">
        <v>0.2</v>
      </c>
      <c r="J507" s="18">
        <f t="shared" si="25"/>
        <v>0</v>
      </c>
    </row>
    <row r="508" spans="1:10">
      <c r="A508" s="16">
        <f>重复匹配率!A531</f>
        <v>0</v>
      </c>
      <c r="B508" s="16">
        <f>重复匹配率!B531</f>
        <v>0</v>
      </c>
      <c r="C508" s="16">
        <f>重复匹配率!C531</f>
        <v>0</v>
      </c>
      <c r="D508" s="16">
        <f>重复匹配率!D531</f>
        <v>0</v>
      </c>
      <c r="E508" s="16">
        <f>重复匹配率!E531</f>
        <v>0</v>
      </c>
      <c r="F508" s="16">
        <f>重复匹配率!F531</f>
        <v>0</v>
      </c>
      <c r="G508" s="16">
        <f>重复匹配率!G531</f>
        <v>0</v>
      </c>
      <c r="H508" s="16">
        <f>重复匹配率!H531</f>
        <v>0</v>
      </c>
      <c r="I508" s="17">
        <v>0.3</v>
      </c>
      <c r="J508" s="18">
        <f t="shared" si="25"/>
        <v>0</v>
      </c>
    </row>
    <row r="509" spans="1:10">
      <c r="A509" s="16">
        <f>重复匹配率!A532</f>
        <v>0</v>
      </c>
      <c r="B509" s="16">
        <f>重复匹配率!B532</f>
        <v>0</v>
      </c>
      <c r="C509" s="16">
        <f>重复匹配率!C532</f>
        <v>0</v>
      </c>
      <c r="D509" s="16">
        <f>重复匹配率!D532</f>
        <v>0</v>
      </c>
      <c r="E509" s="16">
        <f>重复匹配率!E532</f>
        <v>0</v>
      </c>
      <c r="F509" s="16">
        <f>重复匹配率!F532</f>
        <v>0</v>
      </c>
      <c r="G509" s="16">
        <f>重复匹配率!G532</f>
        <v>0</v>
      </c>
      <c r="H509" s="16">
        <f>重复匹配率!H532</f>
        <v>0</v>
      </c>
      <c r="I509" s="17">
        <v>0.5</v>
      </c>
      <c r="J509" s="18">
        <f t="shared" si="25"/>
        <v>0</v>
      </c>
    </row>
    <row r="510" spans="1:10">
      <c r="A510" s="16">
        <f>重复匹配率!A533</f>
        <v>0</v>
      </c>
      <c r="B510" s="16">
        <f>重复匹配率!B533</f>
        <v>0</v>
      </c>
      <c r="C510" s="16">
        <f>重复匹配率!C533</f>
        <v>0</v>
      </c>
      <c r="D510" s="16">
        <f>重复匹配率!D533</f>
        <v>0</v>
      </c>
      <c r="E510" s="16">
        <f>重复匹配率!E533</f>
        <v>0</v>
      </c>
      <c r="F510" s="16">
        <f>重复匹配率!F533</f>
        <v>0</v>
      </c>
      <c r="G510" s="16">
        <f>重复匹配率!G533</f>
        <v>0</v>
      </c>
      <c r="H510" s="16">
        <f>重复匹配率!H533</f>
        <v>0</v>
      </c>
      <c r="I510" s="17">
        <v>0.6</v>
      </c>
      <c r="J510" s="18">
        <f t="shared" si="25"/>
        <v>0</v>
      </c>
    </row>
    <row r="511" spans="1:10">
      <c r="A511" s="16">
        <f>重复匹配率!A534</f>
        <v>0</v>
      </c>
      <c r="B511" s="16">
        <f>重复匹配率!B534</f>
        <v>0</v>
      </c>
      <c r="C511" s="16">
        <f>重复匹配率!C534</f>
        <v>0</v>
      </c>
      <c r="D511" s="16">
        <f>重复匹配率!D534</f>
        <v>0</v>
      </c>
      <c r="E511" s="16">
        <f>重复匹配率!E534</f>
        <v>0</v>
      </c>
      <c r="F511" s="16">
        <f>重复匹配率!F534</f>
        <v>0</v>
      </c>
      <c r="G511" s="16">
        <f>重复匹配率!G534</f>
        <v>0</v>
      </c>
      <c r="H511" s="16">
        <f>重复匹配率!H534</f>
        <v>0</v>
      </c>
      <c r="I511" s="17">
        <v>1</v>
      </c>
      <c r="J511" s="18">
        <f t="shared" si="25"/>
        <v>0</v>
      </c>
    </row>
    <row r="512" spans="1:10">
      <c r="A512" s="16">
        <f>重复匹配率!A535</f>
        <v>0</v>
      </c>
      <c r="B512" s="16">
        <f>重复匹配率!B535</f>
        <v>0</v>
      </c>
      <c r="C512" s="16">
        <f>重复匹配率!C535</f>
        <v>0</v>
      </c>
      <c r="D512" s="16">
        <f>重复匹配率!D535</f>
        <v>0</v>
      </c>
      <c r="E512" s="16">
        <f>重复匹配率!E535</f>
        <v>0</v>
      </c>
      <c r="F512" s="16">
        <f>重复匹配率!F535</f>
        <v>0</v>
      </c>
      <c r="G512" s="16">
        <f>重复匹配率!G535</f>
        <v>0</v>
      </c>
      <c r="H512" s="16">
        <f>重复匹配率!H535</f>
        <v>0</v>
      </c>
      <c r="I512" s="17">
        <v>1</v>
      </c>
      <c r="J512" s="18">
        <f t="shared" si="25"/>
        <v>0</v>
      </c>
    </row>
    <row r="513" spans="1:10">
      <c r="A513" s="19" t="s">
        <v>34</v>
      </c>
      <c r="B513" s="20"/>
      <c r="C513" s="20"/>
      <c r="D513" s="20"/>
      <c r="E513" s="20"/>
      <c r="F513" s="20"/>
      <c r="G513" s="20"/>
      <c r="H513" s="20"/>
      <c r="I513" s="20"/>
      <c r="J513" s="18">
        <f>SUM(J503:J512)</f>
        <v>0</v>
      </c>
    </row>
    <row r="521" spans="1:10">
      <c r="A521">
        <f>重复匹配率!B542</f>
        <v>0</v>
      </c>
    </row>
    <row r="522" ht="24" spans="1:10">
      <c r="A522" s="13">
        <f>重复匹配率!A545</f>
        <v>0</v>
      </c>
      <c r="B522" s="13">
        <f>重复匹配率!B545</f>
        <v>0</v>
      </c>
      <c r="C522" s="13">
        <f>重复匹配率!C545</f>
        <v>0</v>
      </c>
      <c r="D522" s="13">
        <f>重复匹配率!D545</f>
        <v>0</v>
      </c>
      <c r="E522" s="13">
        <f>重复匹配率!E545</f>
        <v>0</v>
      </c>
      <c r="F522" s="13">
        <f>重复匹配率!F545</f>
        <v>0</v>
      </c>
      <c r="G522" s="13">
        <f>重复匹配率!G545</f>
        <v>0</v>
      </c>
      <c r="H522" s="13">
        <f>重复匹配率!H545</f>
        <v>0</v>
      </c>
      <c r="I522" s="14" t="s">
        <v>32</v>
      </c>
      <c r="J522" s="15" t="s">
        <v>33</v>
      </c>
    </row>
    <row r="523" spans="1:10">
      <c r="A523" s="16">
        <f>重复匹配率!A546</f>
        <v>0</v>
      </c>
      <c r="B523" s="16">
        <f>重复匹配率!B546</f>
        <v>0</v>
      </c>
      <c r="C523" s="16">
        <f>重复匹配率!C546</f>
        <v>0</v>
      </c>
      <c r="D523" s="16">
        <f>重复匹配率!D546</f>
        <v>0</v>
      </c>
      <c r="E523" s="16">
        <f>重复匹配率!E546</f>
        <v>0</v>
      </c>
      <c r="F523" s="16">
        <f>重复匹配率!F546</f>
        <v>0</v>
      </c>
      <c r="G523" s="16">
        <f>重复匹配率!G546</f>
        <v>0</v>
      </c>
      <c r="H523" s="16">
        <f>重复匹配率!H546</f>
        <v>0</v>
      </c>
      <c r="I523" s="17">
        <v>0</v>
      </c>
      <c r="J523" s="18">
        <f t="shared" ref="J523:J532" si="26">E523*I523</f>
        <v>0</v>
      </c>
    </row>
    <row r="524" spans="1:10">
      <c r="A524" s="16">
        <f>重复匹配率!A547</f>
        <v>0</v>
      </c>
      <c r="B524" s="16">
        <f>重复匹配率!B547</f>
        <v>0</v>
      </c>
      <c r="C524" s="16">
        <f>重复匹配率!C547</f>
        <v>0</v>
      </c>
      <c r="D524" s="16">
        <f>重复匹配率!D547</f>
        <v>0</v>
      </c>
      <c r="E524" s="16">
        <f>重复匹配率!E547</f>
        <v>0</v>
      </c>
      <c r="F524" s="16">
        <f>重复匹配率!F547</f>
        <v>0</v>
      </c>
      <c r="G524" s="16">
        <f>重复匹配率!G547</f>
        <v>0</v>
      </c>
      <c r="H524" s="16">
        <f>重复匹配率!H547</f>
        <v>0</v>
      </c>
      <c r="I524" s="17">
        <v>0</v>
      </c>
      <c r="J524" s="18">
        <f t="shared" si="26"/>
        <v>0</v>
      </c>
    </row>
    <row r="525" spans="1:10">
      <c r="A525" s="16">
        <f>重复匹配率!A548</f>
        <v>0</v>
      </c>
      <c r="B525" s="16">
        <f>重复匹配率!B548</f>
        <v>0</v>
      </c>
      <c r="C525" s="16">
        <f>重复匹配率!C548</f>
        <v>0</v>
      </c>
      <c r="D525" s="16">
        <f>重复匹配率!D548</f>
        <v>0</v>
      </c>
      <c r="E525" s="16">
        <f>重复匹配率!E548</f>
        <v>0</v>
      </c>
      <c r="F525" s="16">
        <f>重复匹配率!F548</f>
        <v>0</v>
      </c>
      <c r="G525" s="16">
        <f>重复匹配率!G548</f>
        <v>0</v>
      </c>
      <c r="H525" s="16">
        <f>重复匹配率!H548</f>
        <v>0</v>
      </c>
      <c r="I525" s="17">
        <v>0.1</v>
      </c>
      <c r="J525" s="18">
        <f t="shared" si="26"/>
        <v>0</v>
      </c>
    </row>
    <row r="526" spans="1:10">
      <c r="A526" s="16">
        <f>重复匹配率!A549</f>
        <v>0</v>
      </c>
      <c r="B526" s="16">
        <f>重复匹配率!B549</f>
        <v>0</v>
      </c>
      <c r="C526" s="16">
        <f>重复匹配率!C549</f>
        <v>0</v>
      </c>
      <c r="D526" s="16">
        <f>重复匹配率!D549</f>
        <v>0</v>
      </c>
      <c r="E526" s="16">
        <f>重复匹配率!E549</f>
        <v>0</v>
      </c>
      <c r="F526" s="16">
        <f>重复匹配率!F549</f>
        <v>0</v>
      </c>
      <c r="G526" s="16">
        <f>重复匹配率!G549</f>
        <v>0</v>
      </c>
      <c r="H526" s="16">
        <f>重复匹配率!H549</f>
        <v>0</v>
      </c>
      <c r="I526" s="17">
        <v>0</v>
      </c>
      <c r="J526" s="18">
        <f t="shared" si="26"/>
        <v>0</v>
      </c>
    </row>
    <row r="527" spans="1:10">
      <c r="A527" s="16">
        <f>重复匹配率!A550</f>
        <v>0</v>
      </c>
      <c r="B527" s="16">
        <f>重复匹配率!B550</f>
        <v>0</v>
      </c>
      <c r="C527" s="16">
        <f>重复匹配率!C550</f>
        <v>0</v>
      </c>
      <c r="D527" s="16">
        <f>重复匹配率!D550</f>
        <v>0</v>
      </c>
      <c r="E527" s="16">
        <f>重复匹配率!E550</f>
        <v>0</v>
      </c>
      <c r="F527" s="16">
        <f>重复匹配率!F550</f>
        <v>0</v>
      </c>
      <c r="G527" s="16">
        <f>重复匹配率!G550</f>
        <v>0</v>
      </c>
      <c r="H527" s="16">
        <f>重复匹配率!H550</f>
        <v>0</v>
      </c>
      <c r="I527" s="17">
        <v>0.2</v>
      </c>
      <c r="J527" s="18">
        <f t="shared" si="26"/>
        <v>0</v>
      </c>
    </row>
    <row r="528" spans="1:10">
      <c r="A528" s="16">
        <f>重复匹配率!A551</f>
        <v>0</v>
      </c>
      <c r="B528" s="16">
        <f>重复匹配率!B551</f>
        <v>0</v>
      </c>
      <c r="C528" s="16">
        <f>重复匹配率!C551</f>
        <v>0</v>
      </c>
      <c r="D528" s="16">
        <f>重复匹配率!D551</f>
        <v>0</v>
      </c>
      <c r="E528" s="16">
        <f>重复匹配率!E551</f>
        <v>0</v>
      </c>
      <c r="F528" s="16">
        <f>重复匹配率!F551</f>
        <v>0</v>
      </c>
      <c r="G528" s="16">
        <f>重复匹配率!G551</f>
        <v>0</v>
      </c>
      <c r="H528" s="16">
        <f>重复匹配率!H551</f>
        <v>0</v>
      </c>
      <c r="I528" s="17">
        <v>0.3</v>
      </c>
      <c r="J528" s="18">
        <f t="shared" si="26"/>
        <v>0</v>
      </c>
    </row>
    <row r="529" spans="1:10">
      <c r="A529" s="16">
        <f>重复匹配率!A552</f>
        <v>0</v>
      </c>
      <c r="B529" s="16">
        <f>重复匹配率!B552</f>
        <v>0</v>
      </c>
      <c r="C529" s="16">
        <f>重复匹配率!C552</f>
        <v>0</v>
      </c>
      <c r="D529" s="16">
        <f>重复匹配率!D552</f>
        <v>0</v>
      </c>
      <c r="E529" s="16">
        <f>重复匹配率!E552</f>
        <v>0</v>
      </c>
      <c r="F529" s="16">
        <f>重复匹配率!F552</f>
        <v>0</v>
      </c>
      <c r="G529" s="16">
        <f>重复匹配率!G552</f>
        <v>0</v>
      </c>
      <c r="H529" s="16">
        <f>重复匹配率!H552</f>
        <v>0</v>
      </c>
      <c r="I529" s="17">
        <v>0.5</v>
      </c>
      <c r="J529" s="18">
        <f t="shared" si="26"/>
        <v>0</v>
      </c>
    </row>
    <row r="530" spans="1:10">
      <c r="A530" s="16">
        <f>重复匹配率!A553</f>
        <v>0</v>
      </c>
      <c r="B530" s="16">
        <f>重复匹配率!B553</f>
        <v>0</v>
      </c>
      <c r="C530" s="16">
        <f>重复匹配率!C553</f>
        <v>0</v>
      </c>
      <c r="D530" s="16">
        <f>重复匹配率!D553</f>
        <v>0</v>
      </c>
      <c r="E530" s="16">
        <f>重复匹配率!E553</f>
        <v>0</v>
      </c>
      <c r="F530" s="16">
        <f>重复匹配率!F553</f>
        <v>0</v>
      </c>
      <c r="G530" s="16">
        <f>重复匹配率!G553</f>
        <v>0</v>
      </c>
      <c r="H530" s="16">
        <f>重复匹配率!H553</f>
        <v>0</v>
      </c>
      <c r="I530" s="17">
        <v>0.6</v>
      </c>
      <c r="J530" s="18">
        <f t="shared" si="26"/>
        <v>0</v>
      </c>
    </row>
    <row r="531" spans="1:10">
      <c r="A531" s="16">
        <f>重复匹配率!A554</f>
        <v>0</v>
      </c>
      <c r="B531" s="16">
        <f>重复匹配率!B554</f>
        <v>0</v>
      </c>
      <c r="C531" s="16">
        <f>重复匹配率!C554</f>
        <v>0</v>
      </c>
      <c r="D531" s="16">
        <f>重复匹配率!D554</f>
        <v>0</v>
      </c>
      <c r="E531" s="16">
        <f>重复匹配率!E554</f>
        <v>0</v>
      </c>
      <c r="F531" s="16">
        <f>重复匹配率!F554</f>
        <v>0</v>
      </c>
      <c r="G531" s="16">
        <f>重复匹配率!G554</f>
        <v>0</v>
      </c>
      <c r="H531" s="16">
        <f>重复匹配率!H554</f>
        <v>0</v>
      </c>
      <c r="I531" s="17">
        <v>1</v>
      </c>
      <c r="J531" s="18">
        <f t="shared" si="26"/>
        <v>0</v>
      </c>
    </row>
    <row r="532" spans="1:10">
      <c r="A532" s="16">
        <f>重复匹配率!A555</f>
        <v>0</v>
      </c>
      <c r="B532" s="16">
        <f>重复匹配率!B555</f>
        <v>0</v>
      </c>
      <c r="C532" s="16">
        <f>重复匹配率!C555</f>
        <v>0</v>
      </c>
      <c r="D532" s="16">
        <f>重复匹配率!D555</f>
        <v>0</v>
      </c>
      <c r="E532" s="16">
        <f>重复匹配率!E555</f>
        <v>0</v>
      </c>
      <c r="F532" s="16">
        <f>重复匹配率!F555</f>
        <v>0</v>
      </c>
      <c r="G532" s="16">
        <f>重复匹配率!G555</f>
        <v>0</v>
      </c>
      <c r="H532" s="16">
        <f>重复匹配率!H555</f>
        <v>0</v>
      </c>
      <c r="I532" s="17">
        <v>1</v>
      </c>
      <c r="J532" s="18">
        <f t="shared" si="26"/>
        <v>0</v>
      </c>
    </row>
    <row r="533" spans="1:10">
      <c r="A533" s="19" t="s">
        <v>34</v>
      </c>
      <c r="B533" s="20"/>
      <c r="C533" s="20"/>
      <c r="D533" s="20"/>
      <c r="E533" s="20"/>
      <c r="F533" s="20"/>
      <c r="G533" s="20"/>
      <c r="H533" s="20"/>
      <c r="I533" s="20"/>
      <c r="J533" s="18">
        <f>SUM(J523:J532)</f>
        <v>0</v>
      </c>
    </row>
    <row r="541" spans="1:10">
      <c r="A541">
        <f>重复匹配率!B562</f>
        <v>0</v>
      </c>
    </row>
    <row r="542" ht="24" spans="1:10">
      <c r="A542" s="13">
        <f>重复匹配率!A565</f>
        <v>0</v>
      </c>
      <c r="B542" s="13">
        <f>重复匹配率!B565</f>
        <v>0</v>
      </c>
      <c r="C542" s="13">
        <f>重复匹配率!C565</f>
        <v>0</v>
      </c>
      <c r="D542" s="13">
        <f>重复匹配率!D565</f>
        <v>0</v>
      </c>
      <c r="E542" s="13">
        <f>重复匹配率!E565</f>
        <v>0</v>
      </c>
      <c r="F542" s="13">
        <f>重复匹配率!F565</f>
        <v>0</v>
      </c>
      <c r="G542" s="13">
        <f>重复匹配率!G565</f>
        <v>0</v>
      </c>
      <c r="H542" s="13">
        <f>重复匹配率!H565</f>
        <v>0</v>
      </c>
      <c r="I542" s="14" t="s">
        <v>32</v>
      </c>
      <c r="J542" s="15" t="s">
        <v>33</v>
      </c>
    </row>
    <row r="543" spans="1:10">
      <c r="A543" s="16">
        <f>重复匹配率!A566</f>
        <v>0</v>
      </c>
      <c r="B543" s="16">
        <f>重复匹配率!B566</f>
        <v>0</v>
      </c>
      <c r="C543" s="16">
        <f>重复匹配率!C566</f>
        <v>0</v>
      </c>
      <c r="D543" s="16">
        <f>重复匹配率!D566</f>
        <v>0</v>
      </c>
      <c r="E543" s="16">
        <f>重复匹配率!E566</f>
        <v>0</v>
      </c>
      <c r="F543" s="16">
        <f>重复匹配率!F566</f>
        <v>0</v>
      </c>
      <c r="G543" s="16">
        <f>重复匹配率!G566</f>
        <v>0</v>
      </c>
      <c r="H543" s="16">
        <f>重复匹配率!H566</f>
        <v>0</v>
      </c>
      <c r="I543" s="17">
        <v>0</v>
      </c>
      <c r="J543" s="18">
        <f t="shared" ref="J543:J552" si="27">E543*I543</f>
        <v>0</v>
      </c>
    </row>
    <row r="544" spans="1:10">
      <c r="A544" s="16">
        <f>重复匹配率!A567</f>
        <v>0</v>
      </c>
      <c r="B544" s="16">
        <f>重复匹配率!B567</f>
        <v>0</v>
      </c>
      <c r="C544" s="16">
        <f>重复匹配率!C567</f>
        <v>0</v>
      </c>
      <c r="D544" s="16">
        <f>重复匹配率!D567</f>
        <v>0</v>
      </c>
      <c r="E544" s="16">
        <f>重复匹配率!E567</f>
        <v>0</v>
      </c>
      <c r="F544" s="16">
        <f>重复匹配率!F567</f>
        <v>0</v>
      </c>
      <c r="G544" s="16">
        <f>重复匹配率!G567</f>
        <v>0</v>
      </c>
      <c r="H544" s="16">
        <f>重复匹配率!H567</f>
        <v>0</v>
      </c>
      <c r="I544" s="17">
        <v>0</v>
      </c>
      <c r="J544" s="18">
        <f t="shared" si="27"/>
        <v>0</v>
      </c>
    </row>
    <row r="545" spans="1:10">
      <c r="A545" s="16">
        <f>重复匹配率!A568</f>
        <v>0</v>
      </c>
      <c r="B545" s="16">
        <f>重复匹配率!B568</f>
        <v>0</v>
      </c>
      <c r="C545" s="16">
        <f>重复匹配率!C568</f>
        <v>0</v>
      </c>
      <c r="D545" s="16">
        <f>重复匹配率!D568</f>
        <v>0</v>
      </c>
      <c r="E545" s="16">
        <f>重复匹配率!E568</f>
        <v>0</v>
      </c>
      <c r="F545" s="16">
        <f>重复匹配率!F568</f>
        <v>0</v>
      </c>
      <c r="G545" s="16">
        <f>重复匹配率!G568</f>
        <v>0</v>
      </c>
      <c r="H545" s="16">
        <f>重复匹配率!H568</f>
        <v>0</v>
      </c>
      <c r="I545" s="17">
        <v>0.1</v>
      </c>
      <c r="J545" s="18">
        <f t="shared" si="27"/>
        <v>0</v>
      </c>
    </row>
    <row r="546" spans="1:10">
      <c r="A546" s="16">
        <f>重复匹配率!A569</f>
        <v>0</v>
      </c>
      <c r="B546" s="16">
        <f>重复匹配率!B569</f>
        <v>0</v>
      </c>
      <c r="C546" s="16">
        <f>重复匹配率!C569</f>
        <v>0</v>
      </c>
      <c r="D546" s="16">
        <f>重复匹配率!D569</f>
        <v>0</v>
      </c>
      <c r="E546" s="16">
        <f>重复匹配率!E569</f>
        <v>0</v>
      </c>
      <c r="F546" s="16">
        <f>重复匹配率!F569</f>
        <v>0</v>
      </c>
      <c r="G546" s="16">
        <f>重复匹配率!G569</f>
        <v>0</v>
      </c>
      <c r="H546" s="16">
        <f>重复匹配率!H569</f>
        <v>0</v>
      </c>
      <c r="I546" s="17">
        <v>0</v>
      </c>
      <c r="J546" s="18">
        <f t="shared" si="27"/>
        <v>0</v>
      </c>
    </row>
    <row r="547" spans="1:10">
      <c r="A547" s="16">
        <f>重复匹配率!A570</f>
        <v>0</v>
      </c>
      <c r="B547" s="16">
        <f>重复匹配率!B570</f>
        <v>0</v>
      </c>
      <c r="C547" s="16">
        <f>重复匹配率!C570</f>
        <v>0</v>
      </c>
      <c r="D547" s="16">
        <f>重复匹配率!D570</f>
        <v>0</v>
      </c>
      <c r="E547" s="16">
        <f>重复匹配率!E570</f>
        <v>0</v>
      </c>
      <c r="F547" s="16">
        <f>重复匹配率!F570</f>
        <v>0</v>
      </c>
      <c r="G547" s="16">
        <f>重复匹配率!G570</f>
        <v>0</v>
      </c>
      <c r="H547" s="16">
        <f>重复匹配率!H570</f>
        <v>0</v>
      </c>
      <c r="I547" s="17">
        <v>0.2</v>
      </c>
      <c r="J547" s="18">
        <f t="shared" si="27"/>
        <v>0</v>
      </c>
    </row>
    <row r="548" spans="1:10">
      <c r="A548" s="16">
        <f>重复匹配率!A571</f>
        <v>0</v>
      </c>
      <c r="B548" s="16">
        <f>重复匹配率!B571</f>
        <v>0</v>
      </c>
      <c r="C548" s="16">
        <f>重复匹配率!C571</f>
        <v>0</v>
      </c>
      <c r="D548" s="16">
        <f>重复匹配率!D571</f>
        <v>0</v>
      </c>
      <c r="E548" s="16">
        <f>重复匹配率!E571</f>
        <v>0</v>
      </c>
      <c r="F548" s="16">
        <f>重复匹配率!F571</f>
        <v>0</v>
      </c>
      <c r="G548" s="16">
        <f>重复匹配率!G571</f>
        <v>0</v>
      </c>
      <c r="H548" s="16">
        <f>重复匹配率!H571</f>
        <v>0</v>
      </c>
      <c r="I548" s="17">
        <v>0.3</v>
      </c>
      <c r="J548" s="18">
        <f t="shared" si="27"/>
        <v>0</v>
      </c>
    </row>
    <row r="549" spans="1:10">
      <c r="A549" s="16">
        <f>重复匹配率!A572</f>
        <v>0</v>
      </c>
      <c r="B549" s="16">
        <f>重复匹配率!B572</f>
        <v>0</v>
      </c>
      <c r="C549" s="16">
        <f>重复匹配率!C572</f>
        <v>0</v>
      </c>
      <c r="D549" s="16">
        <f>重复匹配率!D572</f>
        <v>0</v>
      </c>
      <c r="E549" s="16">
        <f>重复匹配率!E572</f>
        <v>0</v>
      </c>
      <c r="F549" s="16">
        <f>重复匹配率!F572</f>
        <v>0</v>
      </c>
      <c r="G549" s="16">
        <f>重复匹配率!G572</f>
        <v>0</v>
      </c>
      <c r="H549" s="16">
        <f>重复匹配率!H572</f>
        <v>0</v>
      </c>
      <c r="I549" s="17">
        <v>0.5</v>
      </c>
      <c r="J549" s="18">
        <f t="shared" si="27"/>
        <v>0</v>
      </c>
    </row>
    <row r="550" spans="1:10">
      <c r="A550" s="16">
        <f>重复匹配率!A573</f>
        <v>0</v>
      </c>
      <c r="B550" s="16">
        <f>重复匹配率!B573</f>
        <v>0</v>
      </c>
      <c r="C550" s="16">
        <f>重复匹配率!C573</f>
        <v>0</v>
      </c>
      <c r="D550" s="16">
        <f>重复匹配率!D573</f>
        <v>0</v>
      </c>
      <c r="E550" s="16">
        <f>重复匹配率!E573</f>
        <v>0</v>
      </c>
      <c r="F550" s="16">
        <f>重复匹配率!F573</f>
        <v>0</v>
      </c>
      <c r="G550" s="16">
        <f>重复匹配率!G573</f>
        <v>0</v>
      </c>
      <c r="H550" s="16">
        <f>重复匹配率!H573</f>
        <v>0</v>
      </c>
      <c r="I550" s="17">
        <v>0.6</v>
      </c>
      <c r="J550" s="18">
        <f t="shared" si="27"/>
        <v>0</v>
      </c>
    </row>
    <row r="551" spans="1:10">
      <c r="A551" s="16">
        <f>重复匹配率!A574</f>
        <v>0</v>
      </c>
      <c r="B551" s="16">
        <f>重复匹配率!B574</f>
        <v>0</v>
      </c>
      <c r="C551" s="16">
        <f>重复匹配率!C574</f>
        <v>0</v>
      </c>
      <c r="D551" s="16">
        <f>重复匹配率!D574</f>
        <v>0</v>
      </c>
      <c r="E551" s="16">
        <f>重复匹配率!E574</f>
        <v>0</v>
      </c>
      <c r="F551" s="16">
        <f>重复匹配率!F574</f>
        <v>0</v>
      </c>
      <c r="G551" s="16">
        <f>重复匹配率!G574</f>
        <v>0</v>
      </c>
      <c r="H551" s="16">
        <f>重复匹配率!H574</f>
        <v>0</v>
      </c>
      <c r="I551" s="17">
        <v>1</v>
      </c>
      <c r="J551" s="18">
        <f t="shared" si="27"/>
        <v>0</v>
      </c>
    </row>
    <row r="552" spans="1:10">
      <c r="A552" s="16">
        <f>重复匹配率!A575</f>
        <v>0</v>
      </c>
      <c r="B552" s="16">
        <f>重复匹配率!B575</f>
        <v>0</v>
      </c>
      <c r="C552" s="16">
        <f>重复匹配率!C575</f>
        <v>0</v>
      </c>
      <c r="D552" s="16">
        <f>重复匹配率!D575</f>
        <v>0</v>
      </c>
      <c r="E552" s="16">
        <f>重复匹配率!E575</f>
        <v>0</v>
      </c>
      <c r="F552" s="16">
        <f>重复匹配率!F575</f>
        <v>0</v>
      </c>
      <c r="G552" s="16">
        <f>重复匹配率!G575</f>
        <v>0</v>
      </c>
      <c r="H552" s="16">
        <f>重复匹配率!H575</f>
        <v>0</v>
      </c>
      <c r="I552" s="17">
        <v>1</v>
      </c>
      <c r="J552" s="18">
        <f t="shared" si="27"/>
        <v>0</v>
      </c>
    </row>
    <row r="553" spans="1:10">
      <c r="A553" s="19" t="s">
        <v>34</v>
      </c>
      <c r="B553" s="20"/>
      <c r="C553" s="20"/>
      <c r="D553" s="20"/>
      <c r="E553" s="20"/>
      <c r="F553" s="20"/>
      <c r="G553" s="20"/>
      <c r="H553" s="20"/>
      <c r="I553" s="20"/>
      <c r="J553" s="18">
        <f>SUM(J543:J552)</f>
        <v>0</v>
      </c>
    </row>
    <row r="561" spans="1:10">
      <c r="A561">
        <f>重复匹配率!B582</f>
        <v>0</v>
      </c>
    </row>
    <row r="562" ht="24" spans="1:10">
      <c r="A562" s="13">
        <f>重复匹配率!A585</f>
        <v>0</v>
      </c>
      <c r="B562" s="13">
        <f>重复匹配率!B585</f>
        <v>0</v>
      </c>
      <c r="C562" s="13">
        <f>重复匹配率!C585</f>
        <v>0</v>
      </c>
      <c r="D562" s="13">
        <f>重复匹配率!D585</f>
        <v>0</v>
      </c>
      <c r="E562" s="13">
        <f>重复匹配率!E585</f>
        <v>0</v>
      </c>
      <c r="F562" s="13">
        <f>重复匹配率!F585</f>
        <v>0</v>
      </c>
      <c r="G562" s="13">
        <f>重复匹配率!G585</f>
        <v>0</v>
      </c>
      <c r="H562" s="13">
        <f>重复匹配率!H585</f>
        <v>0</v>
      </c>
      <c r="I562" s="14" t="s">
        <v>32</v>
      </c>
      <c r="J562" s="15" t="s">
        <v>33</v>
      </c>
    </row>
    <row r="563" spans="1:10">
      <c r="A563" s="16">
        <f>重复匹配率!A586</f>
        <v>0</v>
      </c>
      <c r="B563" s="16">
        <f>重复匹配率!B586</f>
        <v>0</v>
      </c>
      <c r="C563" s="16">
        <f>重复匹配率!C586</f>
        <v>0</v>
      </c>
      <c r="D563" s="16">
        <f>重复匹配率!D586</f>
        <v>0</v>
      </c>
      <c r="E563" s="16">
        <f>重复匹配率!E586</f>
        <v>0</v>
      </c>
      <c r="F563" s="16">
        <f>重复匹配率!F586</f>
        <v>0</v>
      </c>
      <c r="G563" s="16">
        <f>重复匹配率!G586</f>
        <v>0</v>
      </c>
      <c r="H563" s="16">
        <f>重复匹配率!H586</f>
        <v>0</v>
      </c>
      <c r="I563" s="17">
        <v>0</v>
      </c>
      <c r="J563" s="18">
        <f t="shared" ref="J563:J572" si="28">E563*I563</f>
        <v>0</v>
      </c>
    </row>
    <row r="564" spans="1:10">
      <c r="A564" s="16">
        <f>重复匹配率!A587</f>
        <v>0</v>
      </c>
      <c r="B564" s="16">
        <f>重复匹配率!B587</f>
        <v>0</v>
      </c>
      <c r="C564" s="16">
        <f>重复匹配率!C587</f>
        <v>0</v>
      </c>
      <c r="D564" s="16">
        <f>重复匹配率!D587</f>
        <v>0</v>
      </c>
      <c r="E564" s="16">
        <f>重复匹配率!E587</f>
        <v>0</v>
      </c>
      <c r="F564" s="16">
        <f>重复匹配率!F587</f>
        <v>0</v>
      </c>
      <c r="G564" s="16">
        <f>重复匹配率!G587</f>
        <v>0</v>
      </c>
      <c r="H564" s="16">
        <f>重复匹配率!H587</f>
        <v>0</v>
      </c>
      <c r="I564" s="17">
        <v>0</v>
      </c>
      <c r="J564" s="18">
        <f t="shared" si="28"/>
        <v>0</v>
      </c>
    </row>
    <row r="565" spans="1:10">
      <c r="A565" s="16">
        <f>重复匹配率!A588</f>
        <v>0</v>
      </c>
      <c r="B565" s="16">
        <f>重复匹配率!B588</f>
        <v>0</v>
      </c>
      <c r="C565" s="16">
        <f>重复匹配率!C588</f>
        <v>0</v>
      </c>
      <c r="D565" s="16">
        <f>重复匹配率!D588</f>
        <v>0</v>
      </c>
      <c r="E565" s="16">
        <f>重复匹配率!E588</f>
        <v>0</v>
      </c>
      <c r="F565" s="16">
        <f>重复匹配率!F588</f>
        <v>0</v>
      </c>
      <c r="G565" s="16">
        <f>重复匹配率!G588</f>
        <v>0</v>
      </c>
      <c r="H565" s="16">
        <f>重复匹配率!H588</f>
        <v>0</v>
      </c>
      <c r="I565" s="17">
        <v>0.1</v>
      </c>
      <c r="J565" s="18">
        <f t="shared" si="28"/>
        <v>0</v>
      </c>
    </row>
    <row r="566" spans="1:10">
      <c r="A566" s="16">
        <f>重复匹配率!A589</f>
        <v>0</v>
      </c>
      <c r="B566" s="16">
        <f>重复匹配率!B589</f>
        <v>0</v>
      </c>
      <c r="C566" s="16">
        <f>重复匹配率!C589</f>
        <v>0</v>
      </c>
      <c r="D566" s="16">
        <f>重复匹配率!D589</f>
        <v>0</v>
      </c>
      <c r="E566" s="16">
        <f>重复匹配率!E589</f>
        <v>0</v>
      </c>
      <c r="F566" s="16">
        <f>重复匹配率!F589</f>
        <v>0</v>
      </c>
      <c r="G566" s="16">
        <f>重复匹配率!G589</f>
        <v>0</v>
      </c>
      <c r="H566" s="16">
        <f>重复匹配率!H589</f>
        <v>0</v>
      </c>
      <c r="I566" s="17">
        <v>0</v>
      </c>
      <c r="J566" s="18">
        <f t="shared" si="28"/>
        <v>0</v>
      </c>
    </row>
    <row r="567" spans="1:10">
      <c r="A567" s="16">
        <f>重复匹配率!A590</f>
        <v>0</v>
      </c>
      <c r="B567" s="16">
        <f>重复匹配率!B590</f>
        <v>0</v>
      </c>
      <c r="C567" s="16">
        <f>重复匹配率!C590</f>
        <v>0</v>
      </c>
      <c r="D567" s="16">
        <f>重复匹配率!D590</f>
        <v>0</v>
      </c>
      <c r="E567" s="16">
        <f>重复匹配率!E590</f>
        <v>0</v>
      </c>
      <c r="F567" s="16">
        <f>重复匹配率!F590</f>
        <v>0</v>
      </c>
      <c r="G567" s="16">
        <f>重复匹配率!G590</f>
        <v>0</v>
      </c>
      <c r="H567" s="16">
        <f>重复匹配率!H590</f>
        <v>0</v>
      </c>
      <c r="I567" s="17">
        <v>0.2</v>
      </c>
      <c r="J567" s="18">
        <f t="shared" si="28"/>
        <v>0</v>
      </c>
    </row>
    <row r="568" spans="1:10">
      <c r="A568" s="16">
        <f>重复匹配率!A591</f>
        <v>0</v>
      </c>
      <c r="B568" s="16">
        <f>重复匹配率!B591</f>
        <v>0</v>
      </c>
      <c r="C568" s="16">
        <f>重复匹配率!C591</f>
        <v>0</v>
      </c>
      <c r="D568" s="16">
        <f>重复匹配率!D591</f>
        <v>0</v>
      </c>
      <c r="E568" s="16">
        <f>重复匹配率!E591</f>
        <v>0</v>
      </c>
      <c r="F568" s="16">
        <f>重复匹配率!F591</f>
        <v>0</v>
      </c>
      <c r="G568" s="16">
        <f>重复匹配率!G591</f>
        <v>0</v>
      </c>
      <c r="H568" s="16">
        <f>重复匹配率!H591</f>
        <v>0</v>
      </c>
      <c r="I568" s="17">
        <v>0.3</v>
      </c>
      <c r="J568" s="18">
        <f t="shared" si="28"/>
        <v>0</v>
      </c>
    </row>
    <row r="569" spans="1:10">
      <c r="A569" s="16">
        <f>重复匹配率!A592</f>
        <v>0</v>
      </c>
      <c r="B569" s="16">
        <f>重复匹配率!B592</f>
        <v>0</v>
      </c>
      <c r="C569" s="16">
        <f>重复匹配率!C592</f>
        <v>0</v>
      </c>
      <c r="D569" s="16">
        <f>重复匹配率!D592</f>
        <v>0</v>
      </c>
      <c r="E569" s="16">
        <f>重复匹配率!E592</f>
        <v>0</v>
      </c>
      <c r="F569" s="16">
        <f>重复匹配率!F592</f>
        <v>0</v>
      </c>
      <c r="G569" s="16">
        <f>重复匹配率!G592</f>
        <v>0</v>
      </c>
      <c r="H569" s="16">
        <f>重复匹配率!H592</f>
        <v>0</v>
      </c>
      <c r="I569" s="17">
        <v>0.5</v>
      </c>
      <c r="J569" s="18">
        <f t="shared" si="28"/>
        <v>0</v>
      </c>
    </row>
    <row r="570" spans="1:10">
      <c r="A570" s="16">
        <f>重复匹配率!A593</f>
        <v>0</v>
      </c>
      <c r="B570" s="16">
        <f>重复匹配率!B593</f>
        <v>0</v>
      </c>
      <c r="C570" s="16">
        <f>重复匹配率!C593</f>
        <v>0</v>
      </c>
      <c r="D570" s="16">
        <f>重复匹配率!D593</f>
        <v>0</v>
      </c>
      <c r="E570" s="16">
        <f>重复匹配率!E593</f>
        <v>0</v>
      </c>
      <c r="F570" s="16">
        <f>重复匹配率!F593</f>
        <v>0</v>
      </c>
      <c r="G570" s="16">
        <f>重复匹配率!G593</f>
        <v>0</v>
      </c>
      <c r="H570" s="16">
        <f>重复匹配率!H593</f>
        <v>0</v>
      </c>
      <c r="I570" s="17">
        <v>0.6</v>
      </c>
      <c r="J570" s="18">
        <f t="shared" si="28"/>
        <v>0</v>
      </c>
    </row>
    <row r="571" spans="1:10">
      <c r="A571" s="16">
        <f>重复匹配率!A594</f>
        <v>0</v>
      </c>
      <c r="B571" s="16">
        <f>重复匹配率!B594</f>
        <v>0</v>
      </c>
      <c r="C571" s="16">
        <f>重复匹配率!C594</f>
        <v>0</v>
      </c>
      <c r="D571" s="16">
        <f>重复匹配率!D594</f>
        <v>0</v>
      </c>
      <c r="E571" s="16">
        <f>重复匹配率!E594</f>
        <v>0</v>
      </c>
      <c r="F571" s="16">
        <f>重复匹配率!F594</f>
        <v>0</v>
      </c>
      <c r="G571" s="16">
        <f>重复匹配率!G594</f>
        <v>0</v>
      </c>
      <c r="H571" s="16">
        <f>重复匹配率!H594</f>
        <v>0</v>
      </c>
      <c r="I571" s="17">
        <v>1</v>
      </c>
      <c r="J571" s="18">
        <f t="shared" si="28"/>
        <v>0</v>
      </c>
    </row>
    <row r="572" spans="1:10">
      <c r="A572" s="16">
        <f>重复匹配率!A595</f>
        <v>0</v>
      </c>
      <c r="B572" s="16">
        <f>重复匹配率!B595</f>
        <v>0</v>
      </c>
      <c r="C572" s="16">
        <f>重复匹配率!C595</f>
        <v>0</v>
      </c>
      <c r="D572" s="16">
        <f>重复匹配率!D595</f>
        <v>0</v>
      </c>
      <c r="E572" s="16">
        <f>重复匹配率!E595</f>
        <v>0</v>
      </c>
      <c r="F572" s="16">
        <f>重复匹配率!F595</f>
        <v>0</v>
      </c>
      <c r="G572" s="16">
        <f>重复匹配率!G595</f>
        <v>0</v>
      </c>
      <c r="H572" s="16">
        <f>重复匹配率!H595</f>
        <v>0</v>
      </c>
      <c r="I572" s="17">
        <v>1</v>
      </c>
      <c r="J572" s="18">
        <f t="shared" si="28"/>
        <v>0</v>
      </c>
    </row>
    <row r="573" spans="1:10">
      <c r="A573" s="19" t="s">
        <v>34</v>
      </c>
      <c r="B573" s="20"/>
      <c r="C573" s="20"/>
      <c r="D573" s="20"/>
      <c r="E573" s="20"/>
      <c r="F573" s="20"/>
      <c r="G573" s="20"/>
      <c r="H573" s="20"/>
      <c r="I573" s="20"/>
      <c r="J573" s="18">
        <f>SUM(J563:J572)</f>
        <v>0</v>
      </c>
    </row>
    <row r="581" spans="1:10">
      <c r="A581">
        <f>重复匹配率!B602</f>
        <v>0</v>
      </c>
    </row>
    <row r="582" ht="24" spans="1:10">
      <c r="A582" s="13">
        <f>重复匹配率!A605</f>
        <v>0</v>
      </c>
      <c r="B582" s="13">
        <f>重复匹配率!B605</f>
        <v>0</v>
      </c>
      <c r="C582" s="13">
        <f>重复匹配率!C605</f>
        <v>0</v>
      </c>
      <c r="D582" s="13">
        <f>重复匹配率!D605</f>
        <v>0</v>
      </c>
      <c r="E582" s="13">
        <f>重复匹配率!E605</f>
        <v>0</v>
      </c>
      <c r="F582" s="13">
        <f>重复匹配率!F605</f>
        <v>0</v>
      </c>
      <c r="G582" s="13">
        <f>重复匹配率!G605</f>
        <v>0</v>
      </c>
      <c r="H582" s="13">
        <f>重复匹配率!H605</f>
        <v>0</v>
      </c>
      <c r="I582" s="14" t="s">
        <v>32</v>
      </c>
      <c r="J582" s="15" t="s">
        <v>33</v>
      </c>
    </row>
    <row r="583" spans="1:10">
      <c r="A583" s="16">
        <f>重复匹配率!A606</f>
        <v>0</v>
      </c>
      <c r="B583" s="16">
        <f>重复匹配率!B606</f>
        <v>0</v>
      </c>
      <c r="C583" s="16">
        <f>重复匹配率!C606</f>
        <v>0</v>
      </c>
      <c r="D583" s="16">
        <f>重复匹配率!D606</f>
        <v>0</v>
      </c>
      <c r="E583" s="16">
        <f>重复匹配率!E606</f>
        <v>0</v>
      </c>
      <c r="F583" s="16">
        <f>重复匹配率!F606</f>
        <v>0</v>
      </c>
      <c r="G583" s="16">
        <f>重复匹配率!G606</f>
        <v>0</v>
      </c>
      <c r="H583" s="16">
        <f>重复匹配率!H606</f>
        <v>0</v>
      </c>
      <c r="I583" s="17">
        <v>0</v>
      </c>
      <c r="J583" s="18">
        <f t="shared" ref="J583:J592" si="29">E583*I583</f>
        <v>0</v>
      </c>
    </row>
    <row r="584" spans="1:10">
      <c r="A584" s="16">
        <f>重复匹配率!A607</f>
        <v>0</v>
      </c>
      <c r="B584" s="16">
        <f>重复匹配率!B607</f>
        <v>0</v>
      </c>
      <c r="C584" s="16">
        <f>重复匹配率!C607</f>
        <v>0</v>
      </c>
      <c r="D584" s="16">
        <f>重复匹配率!D607</f>
        <v>0</v>
      </c>
      <c r="E584" s="16">
        <f>重复匹配率!E607</f>
        <v>0</v>
      </c>
      <c r="F584" s="16">
        <f>重复匹配率!F607</f>
        <v>0</v>
      </c>
      <c r="G584" s="16">
        <f>重复匹配率!G607</f>
        <v>0</v>
      </c>
      <c r="H584" s="16">
        <f>重复匹配率!H607</f>
        <v>0</v>
      </c>
      <c r="I584" s="17">
        <v>0</v>
      </c>
      <c r="J584" s="18">
        <f t="shared" si="29"/>
        <v>0</v>
      </c>
    </row>
    <row r="585" spans="1:10">
      <c r="A585" s="16">
        <f>重复匹配率!A608</f>
        <v>0</v>
      </c>
      <c r="B585" s="16">
        <f>重复匹配率!B608</f>
        <v>0</v>
      </c>
      <c r="C585" s="16">
        <f>重复匹配率!C608</f>
        <v>0</v>
      </c>
      <c r="D585" s="16">
        <f>重复匹配率!D608</f>
        <v>0</v>
      </c>
      <c r="E585" s="16">
        <f>重复匹配率!E608</f>
        <v>0</v>
      </c>
      <c r="F585" s="16">
        <f>重复匹配率!F608</f>
        <v>0</v>
      </c>
      <c r="G585" s="16">
        <f>重复匹配率!G608</f>
        <v>0</v>
      </c>
      <c r="H585" s="16">
        <f>重复匹配率!H608</f>
        <v>0</v>
      </c>
      <c r="I585" s="17">
        <v>0.1</v>
      </c>
      <c r="J585" s="18">
        <f t="shared" si="29"/>
        <v>0</v>
      </c>
    </row>
    <row r="586" spans="1:10">
      <c r="A586" s="16">
        <f>重复匹配率!A609</f>
        <v>0</v>
      </c>
      <c r="B586" s="16">
        <f>重复匹配率!B609</f>
        <v>0</v>
      </c>
      <c r="C586" s="16">
        <f>重复匹配率!C609</f>
        <v>0</v>
      </c>
      <c r="D586" s="16">
        <f>重复匹配率!D609</f>
        <v>0</v>
      </c>
      <c r="E586" s="16">
        <f>重复匹配率!E609</f>
        <v>0</v>
      </c>
      <c r="F586" s="16">
        <f>重复匹配率!F609</f>
        <v>0</v>
      </c>
      <c r="G586" s="16">
        <f>重复匹配率!G609</f>
        <v>0</v>
      </c>
      <c r="H586" s="16">
        <f>重复匹配率!H609</f>
        <v>0</v>
      </c>
      <c r="I586" s="17">
        <v>0</v>
      </c>
      <c r="J586" s="18">
        <f t="shared" si="29"/>
        <v>0</v>
      </c>
    </row>
    <row r="587" spans="1:10">
      <c r="A587" s="16">
        <f>重复匹配率!A610</f>
        <v>0</v>
      </c>
      <c r="B587" s="16">
        <f>重复匹配率!B610</f>
        <v>0</v>
      </c>
      <c r="C587" s="16">
        <f>重复匹配率!C610</f>
        <v>0</v>
      </c>
      <c r="D587" s="16">
        <f>重复匹配率!D610</f>
        <v>0</v>
      </c>
      <c r="E587" s="16">
        <f>重复匹配率!E610</f>
        <v>0</v>
      </c>
      <c r="F587" s="16">
        <f>重复匹配率!F610</f>
        <v>0</v>
      </c>
      <c r="G587" s="16">
        <f>重复匹配率!G610</f>
        <v>0</v>
      </c>
      <c r="H587" s="16">
        <f>重复匹配率!H610</f>
        <v>0</v>
      </c>
      <c r="I587" s="17">
        <v>0.2</v>
      </c>
      <c r="J587" s="18">
        <f t="shared" si="29"/>
        <v>0</v>
      </c>
    </row>
    <row r="588" spans="1:10">
      <c r="A588" s="16">
        <f>重复匹配率!A611</f>
        <v>0</v>
      </c>
      <c r="B588" s="16">
        <f>重复匹配率!B611</f>
        <v>0</v>
      </c>
      <c r="C588" s="16">
        <f>重复匹配率!C611</f>
        <v>0</v>
      </c>
      <c r="D588" s="16">
        <f>重复匹配率!D611</f>
        <v>0</v>
      </c>
      <c r="E588" s="16">
        <f>重复匹配率!E611</f>
        <v>0</v>
      </c>
      <c r="F588" s="16">
        <f>重复匹配率!F611</f>
        <v>0</v>
      </c>
      <c r="G588" s="16">
        <f>重复匹配率!G611</f>
        <v>0</v>
      </c>
      <c r="H588" s="16">
        <f>重复匹配率!H611</f>
        <v>0</v>
      </c>
      <c r="I588" s="17">
        <v>0.3</v>
      </c>
      <c r="J588" s="18">
        <f t="shared" si="29"/>
        <v>0</v>
      </c>
    </row>
    <row r="589" spans="1:10">
      <c r="A589" s="16">
        <f>重复匹配率!A612</f>
        <v>0</v>
      </c>
      <c r="B589" s="16">
        <f>重复匹配率!B612</f>
        <v>0</v>
      </c>
      <c r="C589" s="16">
        <f>重复匹配率!C612</f>
        <v>0</v>
      </c>
      <c r="D589" s="16">
        <f>重复匹配率!D612</f>
        <v>0</v>
      </c>
      <c r="E589" s="16">
        <f>重复匹配率!E612</f>
        <v>0</v>
      </c>
      <c r="F589" s="16">
        <f>重复匹配率!F612</f>
        <v>0</v>
      </c>
      <c r="G589" s="16">
        <f>重复匹配率!G612</f>
        <v>0</v>
      </c>
      <c r="H589" s="16">
        <f>重复匹配率!H612</f>
        <v>0</v>
      </c>
      <c r="I589" s="17">
        <v>0.5</v>
      </c>
      <c r="J589" s="18">
        <f t="shared" si="29"/>
        <v>0</v>
      </c>
    </row>
    <row r="590" spans="1:10">
      <c r="A590" s="16">
        <f>重复匹配率!A613</f>
        <v>0</v>
      </c>
      <c r="B590" s="16">
        <f>重复匹配率!B613</f>
        <v>0</v>
      </c>
      <c r="C590" s="16">
        <f>重复匹配率!C613</f>
        <v>0</v>
      </c>
      <c r="D590" s="16">
        <f>重复匹配率!D613</f>
        <v>0</v>
      </c>
      <c r="E590" s="16">
        <f>重复匹配率!E613</f>
        <v>0</v>
      </c>
      <c r="F590" s="16">
        <f>重复匹配率!F613</f>
        <v>0</v>
      </c>
      <c r="G590" s="16">
        <f>重复匹配率!G613</f>
        <v>0</v>
      </c>
      <c r="H590" s="16">
        <f>重复匹配率!H613</f>
        <v>0</v>
      </c>
      <c r="I590" s="17">
        <v>0.6</v>
      </c>
      <c r="J590" s="18">
        <f t="shared" si="29"/>
        <v>0</v>
      </c>
    </row>
    <row r="591" spans="1:10">
      <c r="A591" s="16">
        <f>重复匹配率!A614</f>
        <v>0</v>
      </c>
      <c r="B591" s="16">
        <f>重复匹配率!B614</f>
        <v>0</v>
      </c>
      <c r="C591" s="16">
        <f>重复匹配率!C614</f>
        <v>0</v>
      </c>
      <c r="D591" s="16">
        <f>重复匹配率!D614</f>
        <v>0</v>
      </c>
      <c r="E591" s="16">
        <f>重复匹配率!E614</f>
        <v>0</v>
      </c>
      <c r="F591" s="16">
        <f>重复匹配率!F614</f>
        <v>0</v>
      </c>
      <c r="G591" s="16">
        <f>重复匹配率!G614</f>
        <v>0</v>
      </c>
      <c r="H591" s="16">
        <f>重复匹配率!H614</f>
        <v>0</v>
      </c>
      <c r="I591" s="17">
        <v>1</v>
      </c>
      <c r="J591" s="18">
        <f t="shared" si="29"/>
        <v>0</v>
      </c>
    </row>
    <row r="592" spans="1:10">
      <c r="A592" s="16">
        <f>重复匹配率!A615</f>
        <v>0</v>
      </c>
      <c r="B592" s="16">
        <f>重复匹配率!B615</f>
        <v>0</v>
      </c>
      <c r="C592" s="16">
        <f>重复匹配率!C615</f>
        <v>0</v>
      </c>
      <c r="D592" s="16">
        <f>重复匹配率!D615</f>
        <v>0</v>
      </c>
      <c r="E592" s="16">
        <f>重复匹配率!E615</f>
        <v>0</v>
      </c>
      <c r="F592" s="16">
        <f>重复匹配率!F615</f>
        <v>0</v>
      </c>
      <c r="G592" s="16">
        <f>重复匹配率!G615</f>
        <v>0</v>
      </c>
      <c r="H592" s="16">
        <f>重复匹配率!H615</f>
        <v>0</v>
      </c>
      <c r="I592" s="17">
        <v>1</v>
      </c>
      <c r="J592" s="18">
        <f t="shared" si="29"/>
        <v>0</v>
      </c>
    </row>
    <row r="593" spans="1:10">
      <c r="A593" s="19" t="s">
        <v>34</v>
      </c>
      <c r="B593" s="20"/>
      <c r="C593" s="20"/>
      <c r="D593" s="20"/>
      <c r="E593" s="20"/>
      <c r="F593" s="20"/>
      <c r="G593" s="20"/>
      <c r="H593" s="20"/>
      <c r="I593" s="20"/>
      <c r="J593" s="18">
        <f>SUM(J583:J592)</f>
        <v>0</v>
      </c>
    </row>
    <row r="601" spans="1:10">
      <c r="A601">
        <f>重复匹配率!B622</f>
        <v>0</v>
      </c>
    </row>
    <row r="602" ht="24" spans="1:10">
      <c r="A602" s="13">
        <f>重复匹配率!A625</f>
        <v>0</v>
      </c>
      <c r="B602" s="13">
        <f>重复匹配率!B625</f>
        <v>0</v>
      </c>
      <c r="C602" s="13">
        <f>重复匹配率!C625</f>
        <v>0</v>
      </c>
      <c r="D602" s="13">
        <f>重复匹配率!D625</f>
        <v>0</v>
      </c>
      <c r="E602" s="13">
        <f>重复匹配率!E625</f>
        <v>0</v>
      </c>
      <c r="F602" s="13">
        <f>重复匹配率!F625</f>
        <v>0</v>
      </c>
      <c r="G602" s="13">
        <f>重复匹配率!G625</f>
        <v>0</v>
      </c>
      <c r="H602" s="13">
        <f>重复匹配率!H625</f>
        <v>0</v>
      </c>
      <c r="I602" s="14" t="s">
        <v>32</v>
      </c>
      <c r="J602" s="15" t="s">
        <v>33</v>
      </c>
    </row>
    <row r="603" spans="1:10">
      <c r="A603" s="16">
        <f>重复匹配率!A626</f>
        <v>0</v>
      </c>
      <c r="B603" s="16">
        <f>重复匹配率!B626</f>
        <v>0</v>
      </c>
      <c r="C603" s="16">
        <f>重复匹配率!C626</f>
        <v>0</v>
      </c>
      <c r="D603" s="16">
        <f>重复匹配率!D626</f>
        <v>0</v>
      </c>
      <c r="E603" s="16">
        <f>重复匹配率!E626</f>
        <v>0</v>
      </c>
      <c r="F603" s="16">
        <f>重复匹配率!F626</f>
        <v>0</v>
      </c>
      <c r="G603" s="16">
        <f>重复匹配率!G626</f>
        <v>0</v>
      </c>
      <c r="H603" s="16">
        <f>重复匹配率!H626</f>
        <v>0</v>
      </c>
      <c r="I603" s="17">
        <v>0</v>
      </c>
      <c r="J603" s="18">
        <f t="shared" ref="J603:J612" si="30">E603*I603</f>
        <v>0</v>
      </c>
    </row>
    <row r="604" spans="1:10">
      <c r="A604" s="16">
        <f>重复匹配率!A627</f>
        <v>0</v>
      </c>
      <c r="B604" s="16">
        <f>重复匹配率!B627</f>
        <v>0</v>
      </c>
      <c r="C604" s="16">
        <f>重复匹配率!C627</f>
        <v>0</v>
      </c>
      <c r="D604" s="16">
        <f>重复匹配率!D627</f>
        <v>0</v>
      </c>
      <c r="E604" s="16">
        <f>重复匹配率!E627</f>
        <v>0</v>
      </c>
      <c r="F604" s="16">
        <f>重复匹配率!F627</f>
        <v>0</v>
      </c>
      <c r="G604" s="16">
        <f>重复匹配率!G627</f>
        <v>0</v>
      </c>
      <c r="H604" s="16">
        <f>重复匹配率!H627</f>
        <v>0</v>
      </c>
      <c r="I604" s="17">
        <v>0</v>
      </c>
      <c r="J604" s="18">
        <f t="shared" si="30"/>
        <v>0</v>
      </c>
    </row>
    <row r="605" spans="1:10">
      <c r="A605" s="16">
        <f>重复匹配率!A628</f>
        <v>0</v>
      </c>
      <c r="B605" s="16">
        <f>重复匹配率!B628</f>
        <v>0</v>
      </c>
      <c r="C605" s="16">
        <f>重复匹配率!C628</f>
        <v>0</v>
      </c>
      <c r="D605" s="16">
        <f>重复匹配率!D628</f>
        <v>0</v>
      </c>
      <c r="E605" s="16">
        <f>重复匹配率!E628</f>
        <v>0</v>
      </c>
      <c r="F605" s="16">
        <f>重复匹配率!F628</f>
        <v>0</v>
      </c>
      <c r="G605" s="16">
        <f>重复匹配率!G628</f>
        <v>0</v>
      </c>
      <c r="H605" s="16">
        <f>重复匹配率!H628</f>
        <v>0</v>
      </c>
      <c r="I605" s="17">
        <v>0.1</v>
      </c>
      <c r="J605" s="18">
        <f t="shared" si="30"/>
        <v>0</v>
      </c>
    </row>
    <row r="606" spans="1:10">
      <c r="A606" s="16">
        <f>重复匹配率!A629</f>
        <v>0</v>
      </c>
      <c r="B606" s="16">
        <f>重复匹配率!B629</f>
        <v>0</v>
      </c>
      <c r="C606" s="16">
        <f>重复匹配率!C629</f>
        <v>0</v>
      </c>
      <c r="D606" s="16">
        <f>重复匹配率!D629</f>
        <v>0</v>
      </c>
      <c r="E606" s="16">
        <f>重复匹配率!E629</f>
        <v>0</v>
      </c>
      <c r="F606" s="16">
        <f>重复匹配率!F629</f>
        <v>0</v>
      </c>
      <c r="G606" s="16">
        <f>重复匹配率!G629</f>
        <v>0</v>
      </c>
      <c r="H606" s="16">
        <f>重复匹配率!H629</f>
        <v>0</v>
      </c>
      <c r="I606" s="17">
        <v>0</v>
      </c>
      <c r="J606" s="18">
        <f t="shared" si="30"/>
        <v>0</v>
      </c>
    </row>
    <row r="607" spans="1:10">
      <c r="A607" s="16">
        <f>重复匹配率!A630</f>
        <v>0</v>
      </c>
      <c r="B607" s="16">
        <f>重复匹配率!B630</f>
        <v>0</v>
      </c>
      <c r="C607" s="16">
        <f>重复匹配率!C630</f>
        <v>0</v>
      </c>
      <c r="D607" s="16">
        <f>重复匹配率!D630</f>
        <v>0</v>
      </c>
      <c r="E607" s="16">
        <f>重复匹配率!E630</f>
        <v>0</v>
      </c>
      <c r="F607" s="16">
        <f>重复匹配率!F630</f>
        <v>0</v>
      </c>
      <c r="G607" s="16">
        <f>重复匹配率!G630</f>
        <v>0</v>
      </c>
      <c r="H607" s="16">
        <f>重复匹配率!H630</f>
        <v>0</v>
      </c>
      <c r="I607" s="17">
        <v>0.2</v>
      </c>
      <c r="J607" s="18">
        <f t="shared" si="30"/>
        <v>0</v>
      </c>
    </row>
    <row r="608" spans="1:10">
      <c r="A608" s="16">
        <f>重复匹配率!A631</f>
        <v>0</v>
      </c>
      <c r="B608" s="16">
        <f>重复匹配率!B631</f>
        <v>0</v>
      </c>
      <c r="C608" s="16">
        <f>重复匹配率!C631</f>
        <v>0</v>
      </c>
      <c r="D608" s="16">
        <f>重复匹配率!D631</f>
        <v>0</v>
      </c>
      <c r="E608" s="16">
        <f>重复匹配率!E631</f>
        <v>0</v>
      </c>
      <c r="F608" s="16">
        <f>重复匹配率!F631</f>
        <v>0</v>
      </c>
      <c r="G608" s="16">
        <f>重复匹配率!G631</f>
        <v>0</v>
      </c>
      <c r="H608" s="16">
        <f>重复匹配率!H631</f>
        <v>0</v>
      </c>
      <c r="I608" s="17">
        <v>0.3</v>
      </c>
      <c r="J608" s="18">
        <f t="shared" si="30"/>
        <v>0</v>
      </c>
    </row>
    <row r="609" spans="1:10">
      <c r="A609" s="16">
        <f>重复匹配率!A632</f>
        <v>0</v>
      </c>
      <c r="B609" s="16">
        <f>重复匹配率!B632</f>
        <v>0</v>
      </c>
      <c r="C609" s="16">
        <f>重复匹配率!C632</f>
        <v>0</v>
      </c>
      <c r="D609" s="16">
        <f>重复匹配率!D632</f>
        <v>0</v>
      </c>
      <c r="E609" s="16">
        <f>重复匹配率!E632</f>
        <v>0</v>
      </c>
      <c r="F609" s="16">
        <f>重复匹配率!F632</f>
        <v>0</v>
      </c>
      <c r="G609" s="16">
        <f>重复匹配率!G632</f>
        <v>0</v>
      </c>
      <c r="H609" s="16">
        <f>重复匹配率!H632</f>
        <v>0</v>
      </c>
      <c r="I609" s="17">
        <v>0.5</v>
      </c>
      <c r="J609" s="18">
        <f t="shared" si="30"/>
        <v>0</v>
      </c>
    </row>
    <row r="610" spans="1:10">
      <c r="A610" s="16">
        <f>重复匹配率!A633</f>
        <v>0</v>
      </c>
      <c r="B610" s="16">
        <f>重复匹配率!B633</f>
        <v>0</v>
      </c>
      <c r="C610" s="16">
        <f>重复匹配率!C633</f>
        <v>0</v>
      </c>
      <c r="D610" s="16">
        <f>重复匹配率!D633</f>
        <v>0</v>
      </c>
      <c r="E610" s="16">
        <f>重复匹配率!E633</f>
        <v>0</v>
      </c>
      <c r="F610" s="16">
        <f>重复匹配率!F633</f>
        <v>0</v>
      </c>
      <c r="G610" s="16">
        <f>重复匹配率!G633</f>
        <v>0</v>
      </c>
      <c r="H610" s="16">
        <f>重复匹配率!H633</f>
        <v>0</v>
      </c>
      <c r="I610" s="17">
        <v>0.6</v>
      </c>
      <c r="J610" s="18">
        <f t="shared" si="30"/>
        <v>0</v>
      </c>
    </row>
    <row r="611" spans="1:10">
      <c r="A611" s="16">
        <f>重复匹配率!A634</f>
        <v>0</v>
      </c>
      <c r="B611" s="16">
        <f>重复匹配率!B634</f>
        <v>0</v>
      </c>
      <c r="C611" s="16">
        <f>重复匹配率!C634</f>
        <v>0</v>
      </c>
      <c r="D611" s="16">
        <f>重复匹配率!D634</f>
        <v>0</v>
      </c>
      <c r="E611" s="16">
        <f>重复匹配率!E634</f>
        <v>0</v>
      </c>
      <c r="F611" s="16">
        <f>重复匹配率!F634</f>
        <v>0</v>
      </c>
      <c r="G611" s="16">
        <f>重复匹配率!G634</f>
        <v>0</v>
      </c>
      <c r="H611" s="16">
        <f>重复匹配率!H634</f>
        <v>0</v>
      </c>
      <c r="I611" s="17">
        <v>1</v>
      </c>
      <c r="J611" s="18">
        <f t="shared" si="30"/>
        <v>0</v>
      </c>
    </row>
    <row r="612" spans="1:10">
      <c r="A612" s="16">
        <f>重复匹配率!A635</f>
        <v>0</v>
      </c>
      <c r="B612" s="16">
        <f>重复匹配率!B635</f>
        <v>0</v>
      </c>
      <c r="C612" s="16">
        <f>重复匹配率!C635</f>
        <v>0</v>
      </c>
      <c r="D612" s="16">
        <f>重复匹配率!D635</f>
        <v>0</v>
      </c>
      <c r="E612" s="16">
        <f>重复匹配率!E635</f>
        <v>0</v>
      </c>
      <c r="F612" s="16">
        <f>重复匹配率!F635</f>
        <v>0</v>
      </c>
      <c r="G612" s="16">
        <f>重复匹配率!G635</f>
        <v>0</v>
      </c>
      <c r="H612" s="16">
        <f>重复匹配率!H635</f>
        <v>0</v>
      </c>
      <c r="I612" s="17">
        <v>1</v>
      </c>
      <c r="J612" s="18">
        <f t="shared" si="30"/>
        <v>0</v>
      </c>
    </row>
    <row r="613" spans="1:10">
      <c r="A613" s="19" t="s">
        <v>34</v>
      </c>
      <c r="B613" s="20"/>
      <c r="C613" s="20"/>
      <c r="D613" s="20"/>
      <c r="E613" s="20"/>
      <c r="F613" s="20"/>
      <c r="G613" s="20"/>
      <c r="H613" s="20"/>
      <c r="I613" s="20"/>
      <c r="J613" s="18">
        <f>SUM(J603:J612)</f>
        <v>0</v>
      </c>
    </row>
    <row r="621" spans="1:10">
      <c r="A621">
        <f>重复匹配率!B642</f>
        <v>0</v>
      </c>
    </row>
    <row r="622" ht="24" spans="1:10">
      <c r="A622" s="13">
        <f>重复匹配率!A645</f>
        <v>0</v>
      </c>
      <c r="B622" s="13">
        <f>重复匹配率!B645</f>
        <v>0</v>
      </c>
      <c r="C622" s="13">
        <f>重复匹配率!C645</f>
        <v>0</v>
      </c>
      <c r="D622" s="13">
        <f>重复匹配率!D645</f>
        <v>0</v>
      </c>
      <c r="E622" s="13">
        <f>重复匹配率!E645</f>
        <v>0</v>
      </c>
      <c r="F622" s="13">
        <f>重复匹配率!F645</f>
        <v>0</v>
      </c>
      <c r="G622" s="13">
        <f>重复匹配率!G645</f>
        <v>0</v>
      </c>
      <c r="H622" s="13">
        <f>重复匹配率!H645</f>
        <v>0</v>
      </c>
      <c r="I622" s="14" t="s">
        <v>32</v>
      </c>
      <c r="J622" s="15" t="s">
        <v>33</v>
      </c>
    </row>
    <row r="623" spans="1:10">
      <c r="A623" s="16">
        <f>重复匹配率!A646</f>
        <v>0</v>
      </c>
      <c r="B623" s="16">
        <f>重复匹配率!B646</f>
        <v>0</v>
      </c>
      <c r="C623" s="16">
        <f>重复匹配率!C646</f>
        <v>0</v>
      </c>
      <c r="D623" s="16">
        <f>重复匹配率!D646</f>
        <v>0</v>
      </c>
      <c r="E623" s="16">
        <f>重复匹配率!E646</f>
        <v>0</v>
      </c>
      <c r="F623" s="16">
        <f>重复匹配率!F646</f>
        <v>0</v>
      </c>
      <c r="G623" s="16">
        <f>重复匹配率!G646</f>
        <v>0</v>
      </c>
      <c r="H623" s="16">
        <f>重复匹配率!H646</f>
        <v>0</v>
      </c>
      <c r="I623" s="17">
        <v>0</v>
      </c>
      <c r="J623" s="18">
        <f t="shared" ref="J623:J632" si="31">E623*I623</f>
        <v>0</v>
      </c>
    </row>
    <row r="624" spans="1:10">
      <c r="A624" s="16">
        <f>重复匹配率!A647</f>
        <v>0</v>
      </c>
      <c r="B624" s="16">
        <f>重复匹配率!B647</f>
        <v>0</v>
      </c>
      <c r="C624" s="16">
        <f>重复匹配率!C647</f>
        <v>0</v>
      </c>
      <c r="D624" s="16">
        <f>重复匹配率!D647</f>
        <v>0</v>
      </c>
      <c r="E624" s="16">
        <f>重复匹配率!E647</f>
        <v>0</v>
      </c>
      <c r="F624" s="16">
        <f>重复匹配率!F647</f>
        <v>0</v>
      </c>
      <c r="G624" s="16">
        <f>重复匹配率!G647</f>
        <v>0</v>
      </c>
      <c r="H624" s="16">
        <f>重复匹配率!H647</f>
        <v>0</v>
      </c>
      <c r="I624" s="17">
        <v>0</v>
      </c>
      <c r="J624" s="18">
        <f t="shared" si="31"/>
        <v>0</v>
      </c>
    </row>
    <row r="625" spans="1:10">
      <c r="A625" s="16">
        <f>重复匹配率!A648</f>
        <v>0</v>
      </c>
      <c r="B625" s="16">
        <f>重复匹配率!B648</f>
        <v>0</v>
      </c>
      <c r="C625" s="16">
        <f>重复匹配率!C648</f>
        <v>0</v>
      </c>
      <c r="D625" s="16">
        <f>重复匹配率!D648</f>
        <v>0</v>
      </c>
      <c r="E625" s="16">
        <f>重复匹配率!E648</f>
        <v>0</v>
      </c>
      <c r="F625" s="16">
        <f>重复匹配率!F648</f>
        <v>0</v>
      </c>
      <c r="G625" s="16">
        <f>重复匹配率!G648</f>
        <v>0</v>
      </c>
      <c r="H625" s="16">
        <f>重复匹配率!H648</f>
        <v>0</v>
      </c>
      <c r="I625" s="17">
        <v>0.1</v>
      </c>
      <c r="J625" s="18">
        <f t="shared" si="31"/>
        <v>0</v>
      </c>
    </row>
    <row r="626" spans="1:10">
      <c r="A626" s="16">
        <f>重复匹配率!A649</f>
        <v>0</v>
      </c>
      <c r="B626" s="16">
        <f>重复匹配率!B649</f>
        <v>0</v>
      </c>
      <c r="C626" s="16">
        <f>重复匹配率!C649</f>
        <v>0</v>
      </c>
      <c r="D626" s="16">
        <f>重复匹配率!D649</f>
        <v>0</v>
      </c>
      <c r="E626" s="16">
        <f>重复匹配率!E649</f>
        <v>0</v>
      </c>
      <c r="F626" s="16">
        <f>重复匹配率!F649</f>
        <v>0</v>
      </c>
      <c r="G626" s="16">
        <f>重复匹配率!G649</f>
        <v>0</v>
      </c>
      <c r="H626" s="16">
        <f>重复匹配率!H649</f>
        <v>0</v>
      </c>
      <c r="I626" s="17">
        <v>0</v>
      </c>
      <c r="J626" s="18">
        <f t="shared" si="31"/>
        <v>0</v>
      </c>
    </row>
    <row r="627" spans="1:10">
      <c r="A627" s="16">
        <f>重复匹配率!A650</f>
        <v>0</v>
      </c>
      <c r="B627" s="16">
        <f>重复匹配率!B650</f>
        <v>0</v>
      </c>
      <c r="C627" s="16">
        <f>重复匹配率!C650</f>
        <v>0</v>
      </c>
      <c r="D627" s="16">
        <f>重复匹配率!D650</f>
        <v>0</v>
      </c>
      <c r="E627" s="16">
        <f>重复匹配率!E650</f>
        <v>0</v>
      </c>
      <c r="F627" s="16">
        <f>重复匹配率!F650</f>
        <v>0</v>
      </c>
      <c r="G627" s="16">
        <f>重复匹配率!G650</f>
        <v>0</v>
      </c>
      <c r="H627" s="16">
        <f>重复匹配率!H650</f>
        <v>0</v>
      </c>
      <c r="I627" s="17">
        <v>0.2</v>
      </c>
      <c r="J627" s="18">
        <f t="shared" si="31"/>
        <v>0</v>
      </c>
    </row>
    <row r="628" spans="1:10">
      <c r="A628" s="16">
        <f>重复匹配率!A651</f>
        <v>0</v>
      </c>
      <c r="B628" s="16">
        <f>重复匹配率!B651</f>
        <v>0</v>
      </c>
      <c r="C628" s="16">
        <f>重复匹配率!C651</f>
        <v>0</v>
      </c>
      <c r="D628" s="16">
        <f>重复匹配率!D651</f>
        <v>0</v>
      </c>
      <c r="E628" s="16">
        <f>重复匹配率!E651</f>
        <v>0</v>
      </c>
      <c r="F628" s="16">
        <f>重复匹配率!F651</f>
        <v>0</v>
      </c>
      <c r="G628" s="16">
        <f>重复匹配率!G651</f>
        <v>0</v>
      </c>
      <c r="H628" s="16">
        <f>重复匹配率!H651</f>
        <v>0</v>
      </c>
      <c r="I628" s="17">
        <v>0.3</v>
      </c>
      <c r="J628" s="18">
        <f t="shared" si="31"/>
        <v>0</v>
      </c>
    </row>
    <row r="629" spans="1:10">
      <c r="A629" s="16">
        <f>重复匹配率!A652</f>
        <v>0</v>
      </c>
      <c r="B629" s="16">
        <f>重复匹配率!B652</f>
        <v>0</v>
      </c>
      <c r="C629" s="16">
        <f>重复匹配率!C652</f>
        <v>0</v>
      </c>
      <c r="D629" s="16">
        <f>重复匹配率!D652</f>
        <v>0</v>
      </c>
      <c r="E629" s="16">
        <f>重复匹配率!E652</f>
        <v>0</v>
      </c>
      <c r="F629" s="16">
        <f>重复匹配率!F652</f>
        <v>0</v>
      </c>
      <c r="G629" s="16">
        <f>重复匹配率!G652</f>
        <v>0</v>
      </c>
      <c r="H629" s="16">
        <f>重复匹配率!H652</f>
        <v>0</v>
      </c>
      <c r="I629" s="17">
        <v>0.5</v>
      </c>
      <c r="J629" s="18">
        <f t="shared" si="31"/>
        <v>0</v>
      </c>
    </row>
    <row r="630" spans="1:10">
      <c r="A630" s="16">
        <f>重复匹配率!A653</f>
        <v>0</v>
      </c>
      <c r="B630" s="16">
        <f>重复匹配率!B653</f>
        <v>0</v>
      </c>
      <c r="C630" s="16">
        <f>重复匹配率!C653</f>
        <v>0</v>
      </c>
      <c r="D630" s="16">
        <f>重复匹配率!D653</f>
        <v>0</v>
      </c>
      <c r="E630" s="16">
        <f>重复匹配率!E653</f>
        <v>0</v>
      </c>
      <c r="F630" s="16">
        <f>重复匹配率!F653</f>
        <v>0</v>
      </c>
      <c r="G630" s="16">
        <f>重复匹配率!G653</f>
        <v>0</v>
      </c>
      <c r="H630" s="16">
        <f>重复匹配率!H653</f>
        <v>0</v>
      </c>
      <c r="I630" s="17">
        <v>0.6</v>
      </c>
      <c r="J630" s="18">
        <f t="shared" si="31"/>
        <v>0</v>
      </c>
    </row>
    <row r="631" spans="1:10">
      <c r="A631" s="16">
        <f>重复匹配率!A654</f>
        <v>0</v>
      </c>
      <c r="B631" s="16">
        <f>重复匹配率!B654</f>
        <v>0</v>
      </c>
      <c r="C631" s="16">
        <f>重复匹配率!C654</f>
        <v>0</v>
      </c>
      <c r="D631" s="16">
        <f>重复匹配率!D654</f>
        <v>0</v>
      </c>
      <c r="E631" s="16">
        <f>重复匹配率!E654</f>
        <v>0</v>
      </c>
      <c r="F631" s="16">
        <f>重复匹配率!F654</f>
        <v>0</v>
      </c>
      <c r="G631" s="16">
        <f>重复匹配率!G654</f>
        <v>0</v>
      </c>
      <c r="H631" s="16">
        <f>重复匹配率!H654</f>
        <v>0</v>
      </c>
      <c r="I631" s="17">
        <v>1</v>
      </c>
      <c r="J631" s="18">
        <f t="shared" si="31"/>
        <v>0</v>
      </c>
    </row>
    <row r="632" spans="1:10">
      <c r="A632" s="16">
        <f>重复匹配率!A655</f>
        <v>0</v>
      </c>
      <c r="B632" s="16">
        <f>重复匹配率!B655</f>
        <v>0</v>
      </c>
      <c r="C632" s="16">
        <f>重复匹配率!C655</f>
        <v>0</v>
      </c>
      <c r="D632" s="16">
        <f>重复匹配率!D655</f>
        <v>0</v>
      </c>
      <c r="E632" s="16">
        <f>重复匹配率!E655</f>
        <v>0</v>
      </c>
      <c r="F632" s="16">
        <f>重复匹配率!F655</f>
        <v>0</v>
      </c>
      <c r="G632" s="16">
        <f>重复匹配率!G655</f>
        <v>0</v>
      </c>
      <c r="H632" s="16">
        <f>重复匹配率!H655</f>
        <v>0</v>
      </c>
      <c r="I632" s="17">
        <v>1</v>
      </c>
      <c r="J632" s="18">
        <f t="shared" si="31"/>
        <v>0</v>
      </c>
    </row>
    <row r="633" spans="1:10">
      <c r="A633" s="19" t="s">
        <v>34</v>
      </c>
      <c r="B633" s="20"/>
      <c r="C633" s="20"/>
      <c r="D633" s="20"/>
      <c r="E633" s="20"/>
      <c r="F633" s="20"/>
      <c r="G633" s="20"/>
      <c r="H633" s="20"/>
      <c r="I633" s="20"/>
      <c r="J633" s="18">
        <f>SUM(J623:J632)</f>
        <v>0</v>
      </c>
    </row>
    <row r="641" spans="1:10">
      <c r="A641">
        <f>重复匹配率!B662</f>
        <v>0</v>
      </c>
    </row>
    <row r="642" ht="24" spans="1:10">
      <c r="A642" s="13">
        <f>重复匹配率!A665</f>
        <v>0</v>
      </c>
      <c r="B642" s="13">
        <f>重复匹配率!B665</f>
        <v>0</v>
      </c>
      <c r="C642" s="13">
        <f>重复匹配率!C665</f>
        <v>0</v>
      </c>
      <c r="D642" s="13">
        <f>重复匹配率!D665</f>
        <v>0</v>
      </c>
      <c r="E642" s="13">
        <f>重复匹配率!E665</f>
        <v>0</v>
      </c>
      <c r="F642" s="13">
        <f>重复匹配率!F665</f>
        <v>0</v>
      </c>
      <c r="G642" s="13">
        <f>重复匹配率!G665</f>
        <v>0</v>
      </c>
      <c r="H642" s="13">
        <f>重复匹配率!H665</f>
        <v>0</v>
      </c>
      <c r="I642" s="14" t="s">
        <v>32</v>
      </c>
      <c r="J642" s="15" t="s">
        <v>33</v>
      </c>
    </row>
    <row r="643" spans="1:10">
      <c r="A643" s="16">
        <f>重复匹配率!A666</f>
        <v>0</v>
      </c>
      <c r="B643" s="16">
        <f>重复匹配率!B666</f>
        <v>0</v>
      </c>
      <c r="C643" s="16">
        <f>重复匹配率!C666</f>
        <v>0</v>
      </c>
      <c r="D643" s="16">
        <f>重复匹配率!D666</f>
        <v>0</v>
      </c>
      <c r="E643" s="16">
        <f>重复匹配率!E666</f>
        <v>0</v>
      </c>
      <c r="F643" s="16">
        <f>重复匹配率!F666</f>
        <v>0</v>
      </c>
      <c r="G643" s="16">
        <f>重复匹配率!G666</f>
        <v>0</v>
      </c>
      <c r="H643" s="16">
        <f>重复匹配率!H666</f>
        <v>0</v>
      </c>
      <c r="I643" s="17">
        <v>0</v>
      </c>
      <c r="J643" s="18">
        <f t="shared" ref="J643:J652" si="32">E643*I643</f>
        <v>0</v>
      </c>
    </row>
    <row r="644" spans="1:10">
      <c r="A644" s="16">
        <f>重复匹配率!A667</f>
        <v>0</v>
      </c>
      <c r="B644" s="16">
        <f>重复匹配率!B667</f>
        <v>0</v>
      </c>
      <c r="C644" s="16">
        <f>重复匹配率!C667</f>
        <v>0</v>
      </c>
      <c r="D644" s="16">
        <f>重复匹配率!D667</f>
        <v>0</v>
      </c>
      <c r="E644" s="16">
        <f>重复匹配率!E667</f>
        <v>0</v>
      </c>
      <c r="F644" s="16">
        <f>重复匹配率!F667</f>
        <v>0</v>
      </c>
      <c r="G644" s="16">
        <f>重复匹配率!G667</f>
        <v>0</v>
      </c>
      <c r="H644" s="16">
        <f>重复匹配率!H667</f>
        <v>0</v>
      </c>
      <c r="I644" s="17">
        <v>0</v>
      </c>
      <c r="J644" s="18">
        <f t="shared" si="32"/>
        <v>0</v>
      </c>
    </row>
    <row r="645" spans="1:10">
      <c r="A645" s="16">
        <f>重复匹配率!A668</f>
        <v>0</v>
      </c>
      <c r="B645" s="16">
        <f>重复匹配率!B668</f>
        <v>0</v>
      </c>
      <c r="C645" s="16">
        <f>重复匹配率!C668</f>
        <v>0</v>
      </c>
      <c r="D645" s="16">
        <f>重复匹配率!D668</f>
        <v>0</v>
      </c>
      <c r="E645" s="16">
        <f>重复匹配率!E668</f>
        <v>0</v>
      </c>
      <c r="F645" s="16">
        <f>重复匹配率!F668</f>
        <v>0</v>
      </c>
      <c r="G645" s="16">
        <f>重复匹配率!G668</f>
        <v>0</v>
      </c>
      <c r="H645" s="16">
        <f>重复匹配率!H668</f>
        <v>0</v>
      </c>
      <c r="I645" s="17">
        <v>0.1</v>
      </c>
      <c r="J645" s="18">
        <f t="shared" si="32"/>
        <v>0</v>
      </c>
    </row>
    <row r="646" spans="1:10">
      <c r="A646" s="16">
        <f>重复匹配率!A669</f>
        <v>0</v>
      </c>
      <c r="B646" s="16">
        <f>重复匹配率!B669</f>
        <v>0</v>
      </c>
      <c r="C646" s="16">
        <f>重复匹配率!C669</f>
        <v>0</v>
      </c>
      <c r="D646" s="16">
        <f>重复匹配率!D669</f>
        <v>0</v>
      </c>
      <c r="E646" s="16">
        <f>重复匹配率!E669</f>
        <v>0</v>
      </c>
      <c r="F646" s="16">
        <f>重复匹配率!F669</f>
        <v>0</v>
      </c>
      <c r="G646" s="16">
        <f>重复匹配率!G669</f>
        <v>0</v>
      </c>
      <c r="H646" s="16">
        <f>重复匹配率!H669</f>
        <v>0</v>
      </c>
      <c r="I646" s="17">
        <v>0</v>
      </c>
      <c r="J646" s="18">
        <f t="shared" si="32"/>
        <v>0</v>
      </c>
    </row>
    <row r="647" spans="1:10">
      <c r="A647" s="16">
        <f>重复匹配率!A670</f>
        <v>0</v>
      </c>
      <c r="B647" s="16">
        <f>重复匹配率!B670</f>
        <v>0</v>
      </c>
      <c r="C647" s="16">
        <f>重复匹配率!C670</f>
        <v>0</v>
      </c>
      <c r="D647" s="16">
        <f>重复匹配率!D670</f>
        <v>0</v>
      </c>
      <c r="E647" s="16">
        <f>重复匹配率!E670</f>
        <v>0</v>
      </c>
      <c r="F647" s="16">
        <f>重复匹配率!F670</f>
        <v>0</v>
      </c>
      <c r="G647" s="16">
        <f>重复匹配率!G670</f>
        <v>0</v>
      </c>
      <c r="H647" s="16">
        <f>重复匹配率!H670</f>
        <v>0</v>
      </c>
      <c r="I647" s="17">
        <v>0.2</v>
      </c>
      <c r="J647" s="18">
        <f t="shared" si="32"/>
        <v>0</v>
      </c>
    </row>
    <row r="648" spans="1:10">
      <c r="A648" s="16">
        <f>重复匹配率!A671</f>
        <v>0</v>
      </c>
      <c r="B648" s="16">
        <f>重复匹配率!B671</f>
        <v>0</v>
      </c>
      <c r="C648" s="16">
        <f>重复匹配率!C671</f>
        <v>0</v>
      </c>
      <c r="D648" s="16">
        <f>重复匹配率!D671</f>
        <v>0</v>
      </c>
      <c r="E648" s="16">
        <f>重复匹配率!E671</f>
        <v>0</v>
      </c>
      <c r="F648" s="16">
        <f>重复匹配率!F671</f>
        <v>0</v>
      </c>
      <c r="G648" s="16">
        <f>重复匹配率!G671</f>
        <v>0</v>
      </c>
      <c r="H648" s="16">
        <f>重复匹配率!H671</f>
        <v>0</v>
      </c>
      <c r="I648" s="17">
        <v>0.3</v>
      </c>
      <c r="J648" s="18">
        <f t="shared" si="32"/>
        <v>0</v>
      </c>
    </row>
    <row r="649" spans="1:10">
      <c r="A649" s="16">
        <f>重复匹配率!A672</f>
        <v>0</v>
      </c>
      <c r="B649" s="16">
        <f>重复匹配率!B672</f>
        <v>0</v>
      </c>
      <c r="C649" s="16">
        <f>重复匹配率!C672</f>
        <v>0</v>
      </c>
      <c r="D649" s="16">
        <f>重复匹配率!D672</f>
        <v>0</v>
      </c>
      <c r="E649" s="16">
        <f>重复匹配率!E672</f>
        <v>0</v>
      </c>
      <c r="F649" s="16">
        <f>重复匹配率!F672</f>
        <v>0</v>
      </c>
      <c r="G649" s="16">
        <f>重复匹配率!G672</f>
        <v>0</v>
      </c>
      <c r="H649" s="16">
        <f>重复匹配率!H672</f>
        <v>0</v>
      </c>
      <c r="I649" s="17">
        <v>0.5</v>
      </c>
      <c r="J649" s="18">
        <f t="shared" si="32"/>
        <v>0</v>
      </c>
    </row>
    <row r="650" spans="1:10">
      <c r="A650" s="16">
        <f>重复匹配率!A673</f>
        <v>0</v>
      </c>
      <c r="B650" s="16">
        <f>重复匹配率!B673</f>
        <v>0</v>
      </c>
      <c r="C650" s="16">
        <f>重复匹配率!C673</f>
        <v>0</v>
      </c>
      <c r="D650" s="16">
        <f>重复匹配率!D673</f>
        <v>0</v>
      </c>
      <c r="E650" s="16">
        <f>重复匹配率!E673</f>
        <v>0</v>
      </c>
      <c r="F650" s="16">
        <f>重复匹配率!F673</f>
        <v>0</v>
      </c>
      <c r="G650" s="16">
        <f>重复匹配率!G673</f>
        <v>0</v>
      </c>
      <c r="H650" s="16">
        <f>重复匹配率!H673</f>
        <v>0</v>
      </c>
      <c r="I650" s="17">
        <v>0.6</v>
      </c>
      <c r="J650" s="18">
        <f t="shared" si="32"/>
        <v>0</v>
      </c>
    </row>
    <row r="651" spans="1:10">
      <c r="A651" s="16">
        <f>重复匹配率!A674</f>
        <v>0</v>
      </c>
      <c r="B651" s="16">
        <f>重复匹配率!B674</f>
        <v>0</v>
      </c>
      <c r="C651" s="16">
        <f>重复匹配率!C674</f>
        <v>0</v>
      </c>
      <c r="D651" s="16">
        <f>重复匹配率!D674</f>
        <v>0</v>
      </c>
      <c r="E651" s="16">
        <f>重复匹配率!E674</f>
        <v>0</v>
      </c>
      <c r="F651" s="16">
        <f>重复匹配率!F674</f>
        <v>0</v>
      </c>
      <c r="G651" s="16">
        <f>重复匹配率!G674</f>
        <v>0</v>
      </c>
      <c r="H651" s="16">
        <f>重复匹配率!H674</f>
        <v>0</v>
      </c>
      <c r="I651" s="17">
        <v>1</v>
      </c>
      <c r="J651" s="18">
        <f t="shared" si="32"/>
        <v>0</v>
      </c>
    </row>
    <row r="652" spans="1:10">
      <c r="A652" s="16">
        <f>重复匹配率!A675</f>
        <v>0</v>
      </c>
      <c r="B652" s="16">
        <f>重复匹配率!B675</f>
        <v>0</v>
      </c>
      <c r="C652" s="16">
        <f>重复匹配率!C675</f>
        <v>0</v>
      </c>
      <c r="D652" s="16">
        <f>重复匹配率!D675</f>
        <v>0</v>
      </c>
      <c r="E652" s="16">
        <f>重复匹配率!E675</f>
        <v>0</v>
      </c>
      <c r="F652" s="16">
        <f>重复匹配率!F675</f>
        <v>0</v>
      </c>
      <c r="G652" s="16">
        <f>重复匹配率!G675</f>
        <v>0</v>
      </c>
      <c r="H652" s="16">
        <f>重复匹配率!H675</f>
        <v>0</v>
      </c>
      <c r="I652" s="17">
        <v>1</v>
      </c>
      <c r="J652" s="18">
        <f t="shared" si="32"/>
        <v>0</v>
      </c>
    </row>
    <row r="653" spans="1:10">
      <c r="A653" s="19" t="s">
        <v>34</v>
      </c>
      <c r="B653" s="20"/>
      <c r="C653" s="20"/>
      <c r="D653" s="20"/>
      <c r="E653" s="20"/>
      <c r="F653" s="20"/>
      <c r="G653" s="20"/>
      <c r="H653" s="20"/>
      <c r="I653" s="20"/>
      <c r="J653" s="18">
        <f>SUM(J643:J652)</f>
        <v>0</v>
      </c>
    </row>
    <row r="661" spans="1:10">
      <c r="A661">
        <f>重复匹配率!B682</f>
        <v>0</v>
      </c>
    </row>
    <row r="662" ht="24" spans="1:10">
      <c r="A662" s="13">
        <f>重复匹配率!A685</f>
        <v>0</v>
      </c>
      <c r="B662" s="13">
        <f>重复匹配率!B685</f>
        <v>0</v>
      </c>
      <c r="C662" s="13">
        <f>重复匹配率!C685</f>
        <v>0</v>
      </c>
      <c r="D662" s="13">
        <f>重复匹配率!D685</f>
        <v>0</v>
      </c>
      <c r="E662" s="13">
        <f>重复匹配率!E685</f>
        <v>0</v>
      </c>
      <c r="F662" s="13">
        <f>重复匹配率!F685</f>
        <v>0</v>
      </c>
      <c r="G662" s="13">
        <f>重复匹配率!G685</f>
        <v>0</v>
      </c>
      <c r="H662" s="13">
        <f>重复匹配率!H685</f>
        <v>0</v>
      </c>
      <c r="I662" s="14" t="s">
        <v>32</v>
      </c>
      <c r="J662" s="15" t="s">
        <v>33</v>
      </c>
    </row>
    <row r="663" spans="1:10">
      <c r="A663" s="16">
        <f>重复匹配率!A686</f>
        <v>0</v>
      </c>
      <c r="B663" s="16">
        <f>重复匹配率!B686</f>
        <v>0</v>
      </c>
      <c r="C663" s="16">
        <f>重复匹配率!C686</f>
        <v>0</v>
      </c>
      <c r="D663" s="16">
        <f>重复匹配率!D686</f>
        <v>0</v>
      </c>
      <c r="E663" s="16">
        <f>重复匹配率!E686</f>
        <v>0</v>
      </c>
      <c r="F663" s="16">
        <f>重复匹配率!F686</f>
        <v>0</v>
      </c>
      <c r="G663" s="16">
        <f>重复匹配率!G686</f>
        <v>0</v>
      </c>
      <c r="H663" s="16">
        <f>重复匹配率!H686</f>
        <v>0</v>
      </c>
      <c r="I663" s="17">
        <v>0</v>
      </c>
      <c r="J663" s="18">
        <f t="shared" ref="J663:J672" si="33">E663*I663</f>
        <v>0</v>
      </c>
    </row>
    <row r="664" spans="1:10">
      <c r="A664" s="16">
        <f>重复匹配率!A687</f>
        <v>0</v>
      </c>
      <c r="B664" s="16">
        <f>重复匹配率!B687</f>
        <v>0</v>
      </c>
      <c r="C664" s="16">
        <f>重复匹配率!C687</f>
        <v>0</v>
      </c>
      <c r="D664" s="16">
        <f>重复匹配率!D687</f>
        <v>0</v>
      </c>
      <c r="E664" s="16">
        <f>重复匹配率!E687</f>
        <v>0</v>
      </c>
      <c r="F664" s="16">
        <f>重复匹配率!F687</f>
        <v>0</v>
      </c>
      <c r="G664" s="16">
        <f>重复匹配率!G687</f>
        <v>0</v>
      </c>
      <c r="H664" s="16">
        <f>重复匹配率!H687</f>
        <v>0</v>
      </c>
      <c r="I664" s="17">
        <v>0</v>
      </c>
      <c r="J664" s="18">
        <f t="shared" si="33"/>
        <v>0</v>
      </c>
    </row>
    <row r="665" spans="1:10">
      <c r="A665" s="16">
        <f>重复匹配率!A688</f>
        <v>0</v>
      </c>
      <c r="B665" s="16">
        <f>重复匹配率!B688</f>
        <v>0</v>
      </c>
      <c r="C665" s="16">
        <f>重复匹配率!C688</f>
        <v>0</v>
      </c>
      <c r="D665" s="16">
        <f>重复匹配率!D688</f>
        <v>0</v>
      </c>
      <c r="E665" s="16">
        <f>重复匹配率!E688</f>
        <v>0</v>
      </c>
      <c r="F665" s="16">
        <f>重复匹配率!F688</f>
        <v>0</v>
      </c>
      <c r="G665" s="16">
        <f>重复匹配率!G688</f>
        <v>0</v>
      </c>
      <c r="H665" s="16">
        <f>重复匹配率!H688</f>
        <v>0</v>
      </c>
      <c r="I665" s="17">
        <v>0.1</v>
      </c>
      <c r="J665" s="18">
        <f t="shared" si="33"/>
        <v>0</v>
      </c>
    </row>
    <row r="666" spans="1:10">
      <c r="A666" s="16">
        <f>重复匹配率!A689</f>
        <v>0</v>
      </c>
      <c r="B666" s="16">
        <f>重复匹配率!B689</f>
        <v>0</v>
      </c>
      <c r="C666" s="16">
        <f>重复匹配率!C689</f>
        <v>0</v>
      </c>
      <c r="D666" s="16">
        <f>重复匹配率!D689</f>
        <v>0</v>
      </c>
      <c r="E666" s="16">
        <f>重复匹配率!E689</f>
        <v>0</v>
      </c>
      <c r="F666" s="16">
        <f>重复匹配率!F689</f>
        <v>0</v>
      </c>
      <c r="G666" s="16">
        <f>重复匹配率!G689</f>
        <v>0</v>
      </c>
      <c r="H666" s="16">
        <f>重复匹配率!H689</f>
        <v>0</v>
      </c>
      <c r="I666" s="17">
        <v>0</v>
      </c>
      <c r="J666" s="18">
        <f t="shared" si="33"/>
        <v>0</v>
      </c>
    </row>
    <row r="667" spans="1:10">
      <c r="A667" s="16">
        <f>重复匹配率!A690</f>
        <v>0</v>
      </c>
      <c r="B667" s="16">
        <f>重复匹配率!B690</f>
        <v>0</v>
      </c>
      <c r="C667" s="16">
        <f>重复匹配率!C690</f>
        <v>0</v>
      </c>
      <c r="D667" s="16">
        <f>重复匹配率!D690</f>
        <v>0</v>
      </c>
      <c r="E667" s="16">
        <f>重复匹配率!E690</f>
        <v>0</v>
      </c>
      <c r="F667" s="16">
        <f>重复匹配率!F690</f>
        <v>0</v>
      </c>
      <c r="G667" s="16">
        <f>重复匹配率!G690</f>
        <v>0</v>
      </c>
      <c r="H667" s="16">
        <f>重复匹配率!H690</f>
        <v>0</v>
      </c>
      <c r="I667" s="17">
        <v>0.2</v>
      </c>
      <c r="J667" s="18">
        <f t="shared" si="33"/>
        <v>0</v>
      </c>
    </row>
    <row r="668" spans="1:10">
      <c r="A668" s="16">
        <f>重复匹配率!A691</f>
        <v>0</v>
      </c>
      <c r="B668" s="16">
        <f>重复匹配率!B691</f>
        <v>0</v>
      </c>
      <c r="C668" s="16">
        <f>重复匹配率!C691</f>
        <v>0</v>
      </c>
      <c r="D668" s="16">
        <f>重复匹配率!D691</f>
        <v>0</v>
      </c>
      <c r="E668" s="16">
        <f>重复匹配率!E691</f>
        <v>0</v>
      </c>
      <c r="F668" s="16">
        <f>重复匹配率!F691</f>
        <v>0</v>
      </c>
      <c r="G668" s="16">
        <f>重复匹配率!G691</f>
        <v>0</v>
      </c>
      <c r="H668" s="16">
        <f>重复匹配率!H691</f>
        <v>0</v>
      </c>
      <c r="I668" s="17">
        <v>0.3</v>
      </c>
      <c r="J668" s="18">
        <f t="shared" si="33"/>
        <v>0</v>
      </c>
    </row>
    <row r="669" spans="1:10">
      <c r="A669" s="16">
        <f>重复匹配率!A692</f>
        <v>0</v>
      </c>
      <c r="B669" s="16">
        <f>重复匹配率!B692</f>
        <v>0</v>
      </c>
      <c r="C669" s="16">
        <f>重复匹配率!C692</f>
        <v>0</v>
      </c>
      <c r="D669" s="16">
        <f>重复匹配率!D692</f>
        <v>0</v>
      </c>
      <c r="E669" s="16">
        <f>重复匹配率!E692</f>
        <v>0</v>
      </c>
      <c r="F669" s="16">
        <f>重复匹配率!F692</f>
        <v>0</v>
      </c>
      <c r="G669" s="16">
        <f>重复匹配率!G692</f>
        <v>0</v>
      </c>
      <c r="H669" s="16">
        <f>重复匹配率!H692</f>
        <v>0</v>
      </c>
      <c r="I669" s="17">
        <v>0.5</v>
      </c>
      <c r="J669" s="18">
        <f t="shared" si="33"/>
        <v>0</v>
      </c>
    </row>
    <row r="670" spans="1:10">
      <c r="A670" s="16">
        <f>重复匹配率!A693</f>
        <v>0</v>
      </c>
      <c r="B670" s="16">
        <f>重复匹配率!B693</f>
        <v>0</v>
      </c>
      <c r="C670" s="16">
        <f>重复匹配率!C693</f>
        <v>0</v>
      </c>
      <c r="D670" s="16">
        <f>重复匹配率!D693</f>
        <v>0</v>
      </c>
      <c r="E670" s="16">
        <f>重复匹配率!E693</f>
        <v>0</v>
      </c>
      <c r="F670" s="16">
        <f>重复匹配率!F693</f>
        <v>0</v>
      </c>
      <c r="G670" s="16">
        <f>重复匹配率!G693</f>
        <v>0</v>
      </c>
      <c r="H670" s="16">
        <f>重复匹配率!H693</f>
        <v>0</v>
      </c>
      <c r="I670" s="17">
        <v>0.6</v>
      </c>
      <c r="J670" s="18">
        <f t="shared" si="33"/>
        <v>0</v>
      </c>
    </row>
    <row r="671" spans="1:10">
      <c r="A671" s="16">
        <f>重复匹配率!A694</f>
        <v>0</v>
      </c>
      <c r="B671" s="16">
        <f>重复匹配率!B694</f>
        <v>0</v>
      </c>
      <c r="C671" s="16">
        <f>重复匹配率!C694</f>
        <v>0</v>
      </c>
      <c r="D671" s="16">
        <f>重复匹配率!D694</f>
        <v>0</v>
      </c>
      <c r="E671" s="16">
        <f>重复匹配率!E694</f>
        <v>0</v>
      </c>
      <c r="F671" s="16">
        <f>重复匹配率!F694</f>
        <v>0</v>
      </c>
      <c r="G671" s="16">
        <f>重复匹配率!G694</f>
        <v>0</v>
      </c>
      <c r="H671" s="16">
        <f>重复匹配率!H694</f>
        <v>0</v>
      </c>
      <c r="I671" s="17">
        <v>1</v>
      </c>
      <c r="J671" s="18">
        <f t="shared" si="33"/>
        <v>0</v>
      </c>
    </row>
    <row r="672" spans="1:10">
      <c r="A672" s="16">
        <f>重复匹配率!A695</f>
        <v>0</v>
      </c>
      <c r="B672" s="16">
        <f>重复匹配率!B695</f>
        <v>0</v>
      </c>
      <c r="C672" s="16">
        <f>重复匹配率!C695</f>
        <v>0</v>
      </c>
      <c r="D672" s="16">
        <f>重复匹配率!D695</f>
        <v>0</v>
      </c>
      <c r="E672" s="16">
        <f>重复匹配率!E695</f>
        <v>0</v>
      </c>
      <c r="F672" s="16">
        <f>重复匹配率!F695</f>
        <v>0</v>
      </c>
      <c r="G672" s="16">
        <f>重复匹配率!G695</f>
        <v>0</v>
      </c>
      <c r="H672" s="16">
        <f>重复匹配率!H695</f>
        <v>0</v>
      </c>
      <c r="I672" s="17">
        <v>1</v>
      </c>
      <c r="J672" s="18">
        <f t="shared" si="33"/>
        <v>0</v>
      </c>
    </row>
    <row r="673" spans="1:10">
      <c r="A673" s="19" t="s">
        <v>34</v>
      </c>
      <c r="B673" s="20"/>
      <c r="C673" s="20"/>
      <c r="D673" s="20"/>
      <c r="E673" s="20"/>
      <c r="F673" s="20"/>
      <c r="G673" s="20"/>
      <c r="H673" s="20"/>
      <c r="I673" s="20"/>
      <c r="J673" s="18">
        <f>SUM(J663:J672)</f>
        <v>0</v>
      </c>
    </row>
    <row r="681" spans="1:10">
      <c r="A681">
        <f>重复匹配率!B702</f>
        <v>0</v>
      </c>
    </row>
    <row r="682" ht="24" spans="1:10">
      <c r="A682" s="13">
        <f>重复匹配率!A705</f>
        <v>0</v>
      </c>
      <c r="B682" s="13">
        <f>重复匹配率!B705</f>
        <v>0</v>
      </c>
      <c r="C682" s="13">
        <f>重复匹配率!C705</f>
        <v>0</v>
      </c>
      <c r="D682" s="13">
        <f>重复匹配率!D705</f>
        <v>0</v>
      </c>
      <c r="E682" s="13">
        <f>重复匹配率!E705</f>
        <v>0</v>
      </c>
      <c r="F682" s="13">
        <f>重复匹配率!F705</f>
        <v>0</v>
      </c>
      <c r="G682" s="13">
        <f>重复匹配率!G705</f>
        <v>0</v>
      </c>
      <c r="H682" s="13">
        <f>重复匹配率!H705</f>
        <v>0</v>
      </c>
      <c r="I682" s="14" t="s">
        <v>32</v>
      </c>
      <c r="J682" s="15" t="s">
        <v>33</v>
      </c>
    </row>
    <row r="683" spans="1:10">
      <c r="A683" s="16">
        <f>重复匹配率!A706</f>
        <v>0</v>
      </c>
      <c r="B683" s="16">
        <f>重复匹配率!B706</f>
        <v>0</v>
      </c>
      <c r="C683" s="16">
        <f>重复匹配率!C706</f>
        <v>0</v>
      </c>
      <c r="D683" s="16">
        <f>重复匹配率!D706</f>
        <v>0</v>
      </c>
      <c r="E683" s="16">
        <f>重复匹配率!E706</f>
        <v>0</v>
      </c>
      <c r="F683" s="16">
        <f>重复匹配率!F706</f>
        <v>0</v>
      </c>
      <c r="G683" s="16">
        <f>重复匹配率!G706</f>
        <v>0</v>
      </c>
      <c r="H683" s="16">
        <f>重复匹配率!H706</f>
        <v>0</v>
      </c>
      <c r="I683" s="17">
        <v>0</v>
      </c>
      <c r="J683" s="18">
        <f t="shared" ref="J683:J692" si="34">E683*I683</f>
        <v>0</v>
      </c>
    </row>
    <row r="684" spans="1:10">
      <c r="A684" s="16">
        <f>重复匹配率!A707</f>
        <v>0</v>
      </c>
      <c r="B684" s="16">
        <f>重复匹配率!B707</f>
        <v>0</v>
      </c>
      <c r="C684" s="16">
        <f>重复匹配率!C707</f>
        <v>0</v>
      </c>
      <c r="D684" s="16">
        <f>重复匹配率!D707</f>
        <v>0</v>
      </c>
      <c r="E684" s="16">
        <f>重复匹配率!E707</f>
        <v>0</v>
      </c>
      <c r="F684" s="16">
        <f>重复匹配率!F707</f>
        <v>0</v>
      </c>
      <c r="G684" s="16">
        <f>重复匹配率!G707</f>
        <v>0</v>
      </c>
      <c r="H684" s="16">
        <f>重复匹配率!H707</f>
        <v>0</v>
      </c>
      <c r="I684" s="17">
        <v>0</v>
      </c>
      <c r="J684" s="18">
        <f t="shared" si="34"/>
        <v>0</v>
      </c>
    </row>
    <row r="685" spans="1:10">
      <c r="A685" s="16">
        <f>重复匹配率!A708</f>
        <v>0</v>
      </c>
      <c r="B685" s="16">
        <f>重复匹配率!B708</f>
        <v>0</v>
      </c>
      <c r="C685" s="16">
        <f>重复匹配率!C708</f>
        <v>0</v>
      </c>
      <c r="D685" s="16">
        <f>重复匹配率!D708</f>
        <v>0</v>
      </c>
      <c r="E685" s="16">
        <f>重复匹配率!E708</f>
        <v>0</v>
      </c>
      <c r="F685" s="16">
        <f>重复匹配率!F708</f>
        <v>0</v>
      </c>
      <c r="G685" s="16">
        <f>重复匹配率!G708</f>
        <v>0</v>
      </c>
      <c r="H685" s="16">
        <f>重复匹配率!H708</f>
        <v>0</v>
      </c>
      <c r="I685" s="17">
        <v>0.1</v>
      </c>
      <c r="J685" s="18">
        <f t="shared" si="34"/>
        <v>0</v>
      </c>
    </row>
    <row r="686" spans="1:10">
      <c r="A686" s="16">
        <f>重复匹配率!A709</f>
        <v>0</v>
      </c>
      <c r="B686" s="16">
        <f>重复匹配率!B709</f>
        <v>0</v>
      </c>
      <c r="C686" s="16">
        <f>重复匹配率!C709</f>
        <v>0</v>
      </c>
      <c r="D686" s="16">
        <f>重复匹配率!D709</f>
        <v>0</v>
      </c>
      <c r="E686" s="16">
        <f>重复匹配率!E709</f>
        <v>0</v>
      </c>
      <c r="F686" s="16">
        <f>重复匹配率!F709</f>
        <v>0</v>
      </c>
      <c r="G686" s="16">
        <f>重复匹配率!G709</f>
        <v>0</v>
      </c>
      <c r="H686" s="16">
        <f>重复匹配率!H709</f>
        <v>0</v>
      </c>
      <c r="I686" s="17">
        <v>0</v>
      </c>
      <c r="J686" s="18">
        <f t="shared" si="34"/>
        <v>0</v>
      </c>
    </row>
    <row r="687" spans="1:10">
      <c r="A687" s="16">
        <f>重复匹配率!A710</f>
        <v>0</v>
      </c>
      <c r="B687" s="16">
        <f>重复匹配率!B710</f>
        <v>0</v>
      </c>
      <c r="C687" s="16">
        <f>重复匹配率!C710</f>
        <v>0</v>
      </c>
      <c r="D687" s="16">
        <f>重复匹配率!D710</f>
        <v>0</v>
      </c>
      <c r="E687" s="16">
        <f>重复匹配率!E710</f>
        <v>0</v>
      </c>
      <c r="F687" s="16">
        <f>重复匹配率!F710</f>
        <v>0</v>
      </c>
      <c r="G687" s="16">
        <f>重复匹配率!G710</f>
        <v>0</v>
      </c>
      <c r="H687" s="16">
        <f>重复匹配率!H710</f>
        <v>0</v>
      </c>
      <c r="I687" s="17">
        <v>0.2</v>
      </c>
      <c r="J687" s="18">
        <f t="shared" si="34"/>
        <v>0</v>
      </c>
    </row>
    <row r="688" spans="1:10">
      <c r="A688" s="16">
        <f>重复匹配率!A711</f>
        <v>0</v>
      </c>
      <c r="B688" s="16">
        <f>重复匹配率!B711</f>
        <v>0</v>
      </c>
      <c r="C688" s="16">
        <f>重复匹配率!C711</f>
        <v>0</v>
      </c>
      <c r="D688" s="16">
        <f>重复匹配率!D711</f>
        <v>0</v>
      </c>
      <c r="E688" s="16">
        <f>重复匹配率!E711</f>
        <v>0</v>
      </c>
      <c r="F688" s="16">
        <f>重复匹配率!F711</f>
        <v>0</v>
      </c>
      <c r="G688" s="16">
        <f>重复匹配率!G711</f>
        <v>0</v>
      </c>
      <c r="H688" s="16">
        <f>重复匹配率!H711</f>
        <v>0</v>
      </c>
      <c r="I688" s="17">
        <v>0.3</v>
      </c>
      <c r="J688" s="18">
        <f t="shared" si="34"/>
        <v>0</v>
      </c>
    </row>
    <row r="689" spans="1:10">
      <c r="A689" s="16">
        <f>重复匹配率!A712</f>
        <v>0</v>
      </c>
      <c r="B689" s="16">
        <f>重复匹配率!B712</f>
        <v>0</v>
      </c>
      <c r="C689" s="16">
        <f>重复匹配率!C712</f>
        <v>0</v>
      </c>
      <c r="D689" s="16">
        <f>重复匹配率!D712</f>
        <v>0</v>
      </c>
      <c r="E689" s="16">
        <f>重复匹配率!E712</f>
        <v>0</v>
      </c>
      <c r="F689" s="16">
        <f>重复匹配率!F712</f>
        <v>0</v>
      </c>
      <c r="G689" s="16">
        <f>重复匹配率!G712</f>
        <v>0</v>
      </c>
      <c r="H689" s="16">
        <f>重复匹配率!H712</f>
        <v>0</v>
      </c>
      <c r="I689" s="17">
        <v>0.5</v>
      </c>
      <c r="J689" s="18">
        <f t="shared" si="34"/>
        <v>0</v>
      </c>
    </row>
    <row r="690" spans="1:10">
      <c r="A690" s="16">
        <f>重复匹配率!A713</f>
        <v>0</v>
      </c>
      <c r="B690" s="16">
        <f>重复匹配率!B713</f>
        <v>0</v>
      </c>
      <c r="C690" s="16">
        <f>重复匹配率!C713</f>
        <v>0</v>
      </c>
      <c r="D690" s="16">
        <f>重复匹配率!D713</f>
        <v>0</v>
      </c>
      <c r="E690" s="16">
        <f>重复匹配率!E713</f>
        <v>0</v>
      </c>
      <c r="F690" s="16">
        <f>重复匹配率!F713</f>
        <v>0</v>
      </c>
      <c r="G690" s="16">
        <f>重复匹配率!G713</f>
        <v>0</v>
      </c>
      <c r="H690" s="16">
        <f>重复匹配率!H713</f>
        <v>0</v>
      </c>
      <c r="I690" s="17">
        <v>0.6</v>
      </c>
      <c r="J690" s="18">
        <f t="shared" si="34"/>
        <v>0</v>
      </c>
    </row>
    <row r="691" spans="1:10">
      <c r="A691" s="16">
        <f>重复匹配率!A714</f>
        <v>0</v>
      </c>
      <c r="B691" s="16">
        <f>重复匹配率!B714</f>
        <v>0</v>
      </c>
      <c r="C691" s="16">
        <f>重复匹配率!C714</f>
        <v>0</v>
      </c>
      <c r="D691" s="16">
        <f>重复匹配率!D714</f>
        <v>0</v>
      </c>
      <c r="E691" s="16">
        <f>重复匹配率!E714</f>
        <v>0</v>
      </c>
      <c r="F691" s="16">
        <f>重复匹配率!F714</f>
        <v>0</v>
      </c>
      <c r="G691" s="16">
        <f>重复匹配率!G714</f>
        <v>0</v>
      </c>
      <c r="H691" s="16">
        <f>重复匹配率!H714</f>
        <v>0</v>
      </c>
      <c r="I691" s="17">
        <v>1</v>
      </c>
      <c r="J691" s="18">
        <f t="shared" si="34"/>
        <v>0</v>
      </c>
    </row>
    <row r="692" spans="1:10">
      <c r="A692" s="16">
        <f>重复匹配率!A715</f>
        <v>0</v>
      </c>
      <c r="B692" s="16">
        <f>重复匹配率!B715</f>
        <v>0</v>
      </c>
      <c r="C692" s="16">
        <f>重复匹配率!C715</f>
        <v>0</v>
      </c>
      <c r="D692" s="16">
        <f>重复匹配率!D715</f>
        <v>0</v>
      </c>
      <c r="E692" s="16">
        <f>重复匹配率!E715</f>
        <v>0</v>
      </c>
      <c r="F692" s="16">
        <f>重复匹配率!F715</f>
        <v>0</v>
      </c>
      <c r="G692" s="16">
        <f>重复匹配率!G715</f>
        <v>0</v>
      </c>
      <c r="H692" s="16">
        <f>重复匹配率!H715</f>
        <v>0</v>
      </c>
      <c r="I692" s="17">
        <v>1</v>
      </c>
      <c r="J692" s="18">
        <f t="shared" si="34"/>
        <v>0</v>
      </c>
    </row>
    <row r="693" spans="1:10">
      <c r="A693" s="19" t="s">
        <v>34</v>
      </c>
      <c r="B693" s="20"/>
      <c r="C693" s="20"/>
      <c r="D693" s="20"/>
      <c r="E693" s="20"/>
      <c r="F693" s="20"/>
      <c r="G693" s="20"/>
      <c r="H693" s="20"/>
      <c r="I693" s="20"/>
      <c r="J693" s="18">
        <f>SUM(J683:J692)</f>
        <v>0</v>
      </c>
    </row>
    <row r="701" spans="1:10">
      <c r="A701">
        <f>重复匹配率!B722</f>
        <v>0</v>
      </c>
    </row>
    <row r="702" ht="24" spans="1:10">
      <c r="A702" s="13">
        <f>重复匹配率!A725</f>
        <v>0</v>
      </c>
      <c r="B702" s="13">
        <f>重复匹配率!B725</f>
        <v>0</v>
      </c>
      <c r="C702" s="13">
        <f>重复匹配率!C725</f>
        <v>0</v>
      </c>
      <c r="D702" s="13">
        <f>重复匹配率!D725</f>
        <v>0</v>
      </c>
      <c r="E702" s="13">
        <f>重复匹配率!E725</f>
        <v>0</v>
      </c>
      <c r="F702" s="13">
        <f>重复匹配率!F725</f>
        <v>0</v>
      </c>
      <c r="G702" s="13">
        <f>重复匹配率!G725</f>
        <v>0</v>
      </c>
      <c r="H702" s="13">
        <f>重复匹配率!H725</f>
        <v>0</v>
      </c>
      <c r="I702" s="14" t="s">
        <v>32</v>
      </c>
      <c r="J702" s="15" t="s">
        <v>33</v>
      </c>
    </row>
    <row r="703" spans="1:10">
      <c r="A703" s="16">
        <f>重复匹配率!A726</f>
        <v>0</v>
      </c>
      <c r="B703" s="16">
        <f>重复匹配率!B726</f>
        <v>0</v>
      </c>
      <c r="C703" s="16">
        <f>重复匹配率!C726</f>
        <v>0</v>
      </c>
      <c r="D703" s="16">
        <f>重复匹配率!D726</f>
        <v>0</v>
      </c>
      <c r="E703" s="16">
        <f>重复匹配率!E726</f>
        <v>0</v>
      </c>
      <c r="F703" s="16">
        <f>重复匹配率!F726</f>
        <v>0</v>
      </c>
      <c r="G703" s="16">
        <f>重复匹配率!G726</f>
        <v>0</v>
      </c>
      <c r="H703" s="16">
        <f>重复匹配率!H726</f>
        <v>0</v>
      </c>
      <c r="I703" s="17">
        <v>0</v>
      </c>
      <c r="J703" s="18">
        <f t="shared" ref="J703:J712" si="35">E703*I703</f>
        <v>0</v>
      </c>
    </row>
    <row r="704" spans="1:10">
      <c r="A704" s="16">
        <f>重复匹配率!A727</f>
        <v>0</v>
      </c>
      <c r="B704" s="16">
        <f>重复匹配率!B727</f>
        <v>0</v>
      </c>
      <c r="C704" s="16">
        <f>重复匹配率!C727</f>
        <v>0</v>
      </c>
      <c r="D704" s="16">
        <f>重复匹配率!D727</f>
        <v>0</v>
      </c>
      <c r="E704" s="16">
        <f>重复匹配率!E727</f>
        <v>0</v>
      </c>
      <c r="F704" s="16">
        <f>重复匹配率!F727</f>
        <v>0</v>
      </c>
      <c r="G704" s="16">
        <f>重复匹配率!G727</f>
        <v>0</v>
      </c>
      <c r="H704" s="16">
        <f>重复匹配率!H727</f>
        <v>0</v>
      </c>
      <c r="I704" s="17">
        <v>0</v>
      </c>
      <c r="J704" s="18">
        <f t="shared" si="35"/>
        <v>0</v>
      </c>
    </row>
    <row r="705" spans="1:10">
      <c r="A705" s="16">
        <f>重复匹配率!A728</f>
        <v>0</v>
      </c>
      <c r="B705" s="16">
        <f>重复匹配率!B728</f>
        <v>0</v>
      </c>
      <c r="C705" s="16">
        <f>重复匹配率!C728</f>
        <v>0</v>
      </c>
      <c r="D705" s="16">
        <f>重复匹配率!D728</f>
        <v>0</v>
      </c>
      <c r="E705" s="16">
        <f>重复匹配率!E728</f>
        <v>0</v>
      </c>
      <c r="F705" s="16">
        <f>重复匹配率!F728</f>
        <v>0</v>
      </c>
      <c r="G705" s="16">
        <f>重复匹配率!G728</f>
        <v>0</v>
      </c>
      <c r="H705" s="16">
        <f>重复匹配率!H728</f>
        <v>0</v>
      </c>
      <c r="I705" s="17">
        <v>0.1</v>
      </c>
      <c r="J705" s="18">
        <f t="shared" si="35"/>
        <v>0</v>
      </c>
    </row>
    <row r="706" spans="1:10">
      <c r="A706" s="16">
        <f>重复匹配率!A729</f>
        <v>0</v>
      </c>
      <c r="B706" s="16">
        <f>重复匹配率!B729</f>
        <v>0</v>
      </c>
      <c r="C706" s="16">
        <f>重复匹配率!C729</f>
        <v>0</v>
      </c>
      <c r="D706" s="16">
        <f>重复匹配率!D729</f>
        <v>0</v>
      </c>
      <c r="E706" s="16">
        <f>重复匹配率!E729</f>
        <v>0</v>
      </c>
      <c r="F706" s="16">
        <f>重复匹配率!F729</f>
        <v>0</v>
      </c>
      <c r="G706" s="16">
        <f>重复匹配率!G729</f>
        <v>0</v>
      </c>
      <c r="H706" s="16">
        <f>重复匹配率!H729</f>
        <v>0</v>
      </c>
      <c r="I706" s="17">
        <v>0</v>
      </c>
      <c r="J706" s="18">
        <f t="shared" si="35"/>
        <v>0</v>
      </c>
    </row>
    <row r="707" spans="1:10">
      <c r="A707" s="16">
        <f>重复匹配率!A730</f>
        <v>0</v>
      </c>
      <c r="B707" s="16">
        <f>重复匹配率!B730</f>
        <v>0</v>
      </c>
      <c r="C707" s="16">
        <f>重复匹配率!C730</f>
        <v>0</v>
      </c>
      <c r="D707" s="16">
        <f>重复匹配率!D730</f>
        <v>0</v>
      </c>
      <c r="E707" s="16">
        <f>重复匹配率!E730</f>
        <v>0</v>
      </c>
      <c r="F707" s="16">
        <f>重复匹配率!F730</f>
        <v>0</v>
      </c>
      <c r="G707" s="16">
        <f>重复匹配率!G730</f>
        <v>0</v>
      </c>
      <c r="H707" s="16">
        <f>重复匹配率!H730</f>
        <v>0</v>
      </c>
      <c r="I707" s="17">
        <v>0.2</v>
      </c>
      <c r="J707" s="18">
        <f t="shared" si="35"/>
        <v>0</v>
      </c>
    </row>
    <row r="708" spans="1:10">
      <c r="A708" s="16">
        <f>重复匹配率!A731</f>
        <v>0</v>
      </c>
      <c r="B708" s="16">
        <f>重复匹配率!B731</f>
        <v>0</v>
      </c>
      <c r="C708" s="16">
        <f>重复匹配率!C731</f>
        <v>0</v>
      </c>
      <c r="D708" s="16">
        <f>重复匹配率!D731</f>
        <v>0</v>
      </c>
      <c r="E708" s="16">
        <f>重复匹配率!E731</f>
        <v>0</v>
      </c>
      <c r="F708" s="16">
        <f>重复匹配率!F731</f>
        <v>0</v>
      </c>
      <c r="G708" s="16">
        <f>重复匹配率!G731</f>
        <v>0</v>
      </c>
      <c r="H708" s="16">
        <f>重复匹配率!H731</f>
        <v>0</v>
      </c>
      <c r="I708" s="17">
        <v>0.3</v>
      </c>
      <c r="J708" s="18">
        <f t="shared" si="35"/>
        <v>0</v>
      </c>
    </row>
    <row r="709" spans="1:10">
      <c r="A709" s="16">
        <f>重复匹配率!A732</f>
        <v>0</v>
      </c>
      <c r="B709" s="16">
        <f>重复匹配率!B732</f>
        <v>0</v>
      </c>
      <c r="C709" s="16">
        <f>重复匹配率!C732</f>
        <v>0</v>
      </c>
      <c r="D709" s="16">
        <f>重复匹配率!D732</f>
        <v>0</v>
      </c>
      <c r="E709" s="16">
        <f>重复匹配率!E732</f>
        <v>0</v>
      </c>
      <c r="F709" s="16">
        <f>重复匹配率!F732</f>
        <v>0</v>
      </c>
      <c r="G709" s="16">
        <f>重复匹配率!G732</f>
        <v>0</v>
      </c>
      <c r="H709" s="16">
        <f>重复匹配率!H732</f>
        <v>0</v>
      </c>
      <c r="I709" s="17">
        <v>0.5</v>
      </c>
      <c r="J709" s="18">
        <f t="shared" si="35"/>
        <v>0</v>
      </c>
    </row>
    <row r="710" spans="1:10">
      <c r="A710" s="16">
        <f>重复匹配率!A733</f>
        <v>0</v>
      </c>
      <c r="B710" s="16">
        <f>重复匹配率!B733</f>
        <v>0</v>
      </c>
      <c r="C710" s="16">
        <f>重复匹配率!C733</f>
        <v>0</v>
      </c>
      <c r="D710" s="16">
        <f>重复匹配率!D733</f>
        <v>0</v>
      </c>
      <c r="E710" s="16">
        <f>重复匹配率!E733</f>
        <v>0</v>
      </c>
      <c r="F710" s="16">
        <f>重复匹配率!F733</f>
        <v>0</v>
      </c>
      <c r="G710" s="16">
        <f>重复匹配率!G733</f>
        <v>0</v>
      </c>
      <c r="H710" s="16">
        <f>重复匹配率!H733</f>
        <v>0</v>
      </c>
      <c r="I710" s="17">
        <v>0.6</v>
      </c>
      <c r="J710" s="18">
        <f t="shared" si="35"/>
        <v>0</v>
      </c>
    </row>
    <row r="711" spans="1:10">
      <c r="A711" s="16">
        <f>重复匹配率!A734</f>
        <v>0</v>
      </c>
      <c r="B711" s="16">
        <f>重复匹配率!B734</f>
        <v>0</v>
      </c>
      <c r="C711" s="16">
        <f>重复匹配率!C734</f>
        <v>0</v>
      </c>
      <c r="D711" s="16">
        <f>重复匹配率!D734</f>
        <v>0</v>
      </c>
      <c r="E711" s="16">
        <f>重复匹配率!E734</f>
        <v>0</v>
      </c>
      <c r="F711" s="16">
        <f>重复匹配率!F734</f>
        <v>0</v>
      </c>
      <c r="G711" s="16">
        <f>重复匹配率!G734</f>
        <v>0</v>
      </c>
      <c r="H711" s="16">
        <f>重复匹配率!H734</f>
        <v>0</v>
      </c>
      <c r="I711" s="17">
        <v>1</v>
      </c>
      <c r="J711" s="18">
        <f t="shared" si="35"/>
        <v>0</v>
      </c>
    </row>
    <row r="712" spans="1:10">
      <c r="A712" s="16">
        <f>重复匹配率!A735</f>
        <v>0</v>
      </c>
      <c r="B712" s="16">
        <f>重复匹配率!B735</f>
        <v>0</v>
      </c>
      <c r="C712" s="16">
        <f>重复匹配率!C735</f>
        <v>0</v>
      </c>
      <c r="D712" s="16">
        <f>重复匹配率!D735</f>
        <v>0</v>
      </c>
      <c r="E712" s="16">
        <f>重复匹配率!E735</f>
        <v>0</v>
      </c>
      <c r="F712" s="16">
        <f>重复匹配率!F735</f>
        <v>0</v>
      </c>
      <c r="G712" s="16">
        <f>重复匹配率!G735</f>
        <v>0</v>
      </c>
      <c r="H712" s="16">
        <f>重复匹配率!H735</f>
        <v>0</v>
      </c>
      <c r="I712" s="17">
        <v>1</v>
      </c>
      <c r="J712" s="18">
        <f t="shared" si="35"/>
        <v>0</v>
      </c>
    </row>
    <row r="713" spans="1:10">
      <c r="A713" s="19" t="s">
        <v>34</v>
      </c>
      <c r="B713" s="20"/>
      <c r="C713" s="20"/>
      <c r="D713" s="20"/>
      <c r="E713" s="20"/>
      <c r="F713" s="20"/>
      <c r="G713" s="20"/>
      <c r="H713" s="20"/>
      <c r="I713" s="20"/>
      <c r="J713" s="18">
        <f>SUM(J703:J712)</f>
        <v>0</v>
      </c>
    </row>
    <row r="721" spans="1:10">
      <c r="A721">
        <f>重复匹配率!B742</f>
        <v>0</v>
      </c>
    </row>
    <row r="722" ht="24" spans="1:10">
      <c r="A722" s="13">
        <f>重复匹配率!A745</f>
        <v>0</v>
      </c>
      <c r="B722" s="13">
        <f>重复匹配率!B745</f>
        <v>0</v>
      </c>
      <c r="C722" s="13">
        <f>重复匹配率!C745</f>
        <v>0</v>
      </c>
      <c r="D722" s="13">
        <f>重复匹配率!D745</f>
        <v>0</v>
      </c>
      <c r="E722" s="13">
        <f>重复匹配率!E745</f>
        <v>0</v>
      </c>
      <c r="F722" s="13">
        <f>重复匹配率!F745</f>
        <v>0</v>
      </c>
      <c r="G722" s="13">
        <f>重复匹配率!G745</f>
        <v>0</v>
      </c>
      <c r="H722" s="13">
        <f>重复匹配率!H745</f>
        <v>0</v>
      </c>
      <c r="I722" s="14" t="s">
        <v>32</v>
      </c>
      <c r="J722" s="15" t="s">
        <v>33</v>
      </c>
    </row>
    <row r="723" spans="1:10">
      <c r="A723" s="16">
        <f>重复匹配率!A746</f>
        <v>0</v>
      </c>
      <c r="B723" s="16">
        <f>重复匹配率!B746</f>
        <v>0</v>
      </c>
      <c r="C723" s="16">
        <f>重复匹配率!C746</f>
        <v>0</v>
      </c>
      <c r="D723" s="16">
        <f>重复匹配率!D746</f>
        <v>0</v>
      </c>
      <c r="E723" s="16">
        <f>重复匹配率!E746</f>
        <v>0</v>
      </c>
      <c r="F723" s="16">
        <f>重复匹配率!F746</f>
        <v>0</v>
      </c>
      <c r="G723" s="16">
        <f>重复匹配率!G746</f>
        <v>0</v>
      </c>
      <c r="H723" s="16">
        <f>重复匹配率!H746</f>
        <v>0</v>
      </c>
      <c r="I723" s="17">
        <v>0</v>
      </c>
      <c r="J723" s="18">
        <f t="shared" ref="J723:J732" si="36">E723*I723</f>
        <v>0</v>
      </c>
    </row>
    <row r="724" spans="1:10">
      <c r="A724" s="16">
        <f>重复匹配率!A747</f>
        <v>0</v>
      </c>
      <c r="B724" s="16">
        <f>重复匹配率!B747</f>
        <v>0</v>
      </c>
      <c r="C724" s="16">
        <f>重复匹配率!C747</f>
        <v>0</v>
      </c>
      <c r="D724" s="16">
        <f>重复匹配率!D747</f>
        <v>0</v>
      </c>
      <c r="E724" s="16">
        <f>重复匹配率!E747</f>
        <v>0</v>
      </c>
      <c r="F724" s="16">
        <f>重复匹配率!F747</f>
        <v>0</v>
      </c>
      <c r="G724" s="16">
        <f>重复匹配率!G747</f>
        <v>0</v>
      </c>
      <c r="H724" s="16">
        <f>重复匹配率!H747</f>
        <v>0</v>
      </c>
      <c r="I724" s="17">
        <v>0</v>
      </c>
      <c r="J724" s="18">
        <f t="shared" si="36"/>
        <v>0</v>
      </c>
    </row>
    <row r="725" spans="1:10">
      <c r="A725" s="16">
        <f>重复匹配率!A748</f>
        <v>0</v>
      </c>
      <c r="B725" s="16">
        <f>重复匹配率!B748</f>
        <v>0</v>
      </c>
      <c r="C725" s="16">
        <f>重复匹配率!C748</f>
        <v>0</v>
      </c>
      <c r="D725" s="16">
        <f>重复匹配率!D748</f>
        <v>0</v>
      </c>
      <c r="E725" s="16">
        <f>重复匹配率!E748</f>
        <v>0</v>
      </c>
      <c r="F725" s="16">
        <f>重复匹配率!F748</f>
        <v>0</v>
      </c>
      <c r="G725" s="16">
        <f>重复匹配率!G748</f>
        <v>0</v>
      </c>
      <c r="H725" s="16">
        <f>重复匹配率!H748</f>
        <v>0</v>
      </c>
      <c r="I725" s="17">
        <v>0.1</v>
      </c>
      <c r="J725" s="18">
        <f t="shared" si="36"/>
        <v>0</v>
      </c>
    </row>
    <row r="726" spans="1:10">
      <c r="A726" s="16">
        <f>重复匹配率!A749</f>
        <v>0</v>
      </c>
      <c r="B726" s="16">
        <f>重复匹配率!B749</f>
        <v>0</v>
      </c>
      <c r="C726" s="16">
        <f>重复匹配率!C749</f>
        <v>0</v>
      </c>
      <c r="D726" s="16">
        <f>重复匹配率!D749</f>
        <v>0</v>
      </c>
      <c r="E726" s="16">
        <f>重复匹配率!E749</f>
        <v>0</v>
      </c>
      <c r="F726" s="16">
        <f>重复匹配率!F749</f>
        <v>0</v>
      </c>
      <c r="G726" s="16">
        <f>重复匹配率!G749</f>
        <v>0</v>
      </c>
      <c r="H726" s="16">
        <f>重复匹配率!H749</f>
        <v>0</v>
      </c>
      <c r="I726" s="17">
        <v>0</v>
      </c>
      <c r="J726" s="18">
        <f t="shared" si="36"/>
        <v>0</v>
      </c>
    </row>
    <row r="727" spans="1:10">
      <c r="A727" s="16">
        <f>重复匹配率!A750</f>
        <v>0</v>
      </c>
      <c r="B727" s="16">
        <f>重复匹配率!B750</f>
        <v>0</v>
      </c>
      <c r="C727" s="16">
        <f>重复匹配率!C750</f>
        <v>0</v>
      </c>
      <c r="D727" s="16">
        <f>重复匹配率!D750</f>
        <v>0</v>
      </c>
      <c r="E727" s="16">
        <f>重复匹配率!E750</f>
        <v>0</v>
      </c>
      <c r="F727" s="16">
        <f>重复匹配率!F750</f>
        <v>0</v>
      </c>
      <c r="G727" s="16">
        <f>重复匹配率!G750</f>
        <v>0</v>
      </c>
      <c r="H727" s="16">
        <f>重复匹配率!H750</f>
        <v>0</v>
      </c>
      <c r="I727" s="17">
        <v>0.2</v>
      </c>
      <c r="J727" s="18">
        <f t="shared" si="36"/>
        <v>0</v>
      </c>
    </row>
    <row r="728" spans="1:10">
      <c r="A728" s="16">
        <f>重复匹配率!A751</f>
        <v>0</v>
      </c>
      <c r="B728" s="16">
        <f>重复匹配率!B751</f>
        <v>0</v>
      </c>
      <c r="C728" s="16">
        <f>重复匹配率!C751</f>
        <v>0</v>
      </c>
      <c r="D728" s="16">
        <f>重复匹配率!D751</f>
        <v>0</v>
      </c>
      <c r="E728" s="16">
        <f>重复匹配率!E751</f>
        <v>0</v>
      </c>
      <c r="F728" s="16">
        <f>重复匹配率!F751</f>
        <v>0</v>
      </c>
      <c r="G728" s="16">
        <f>重复匹配率!G751</f>
        <v>0</v>
      </c>
      <c r="H728" s="16">
        <f>重复匹配率!H751</f>
        <v>0</v>
      </c>
      <c r="I728" s="17">
        <v>0.3</v>
      </c>
      <c r="J728" s="18">
        <f t="shared" si="36"/>
        <v>0</v>
      </c>
    </row>
    <row r="729" spans="1:10">
      <c r="A729" s="16">
        <f>重复匹配率!A752</f>
        <v>0</v>
      </c>
      <c r="B729" s="16">
        <f>重复匹配率!B752</f>
        <v>0</v>
      </c>
      <c r="C729" s="16">
        <f>重复匹配率!C752</f>
        <v>0</v>
      </c>
      <c r="D729" s="16">
        <f>重复匹配率!D752</f>
        <v>0</v>
      </c>
      <c r="E729" s="16">
        <f>重复匹配率!E752</f>
        <v>0</v>
      </c>
      <c r="F729" s="16">
        <f>重复匹配率!F752</f>
        <v>0</v>
      </c>
      <c r="G729" s="16">
        <f>重复匹配率!G752</f>
        <v>0</v>
      </c>
      <c r="H729" s="16">
        <f>重复匹配率!H752</f>
        <v>0</v>
      </c>
      <c r="I729" s="17">
        <v>0.5</v>
      </c>
      <c r="J729" s="18">
        <f t="shared" si="36"/>
        <v>0</v>
      </c>
    </row>
    <row r="730" spans="1:10">
      <c r="A730" s="16">
        <f>重复匹配率!A753</f>
        <v>0</v>
      </c>
      <c r="B730" s="16">
        <f>重复匹配率!B753</f>
        <v>0</v>
      </c>
      <c r="C730" s="16">
        <f>重复匹配率!C753</f>
        <v>0</v>
      </c>
      <c r="D730" s="16">
        <f>重复匹配率!D753</f>
        <v>0</v>
      </c>
      <c r="E730" s="16">
        <f>重复匹配率!E753</f>
        <v>0</v>
      </c>
      <c r="F730" s="16">
        <f>重复匹配率!F753</f>
        <v>0</v>
      </c>
      <c r="G730" s="16">
        <f>重复匹配率!G753</f>
        <v>0</v>
      </c>
      <c r="H730" s="16">
        <f>重复匹配率!H753</f>
        <v>0</v>
      </c>
      <c r="I730" s="17">
        <v>0.6</v>
      </c>
      <c r="J730" s="18">
        <f t="shared" si="36"/>
        <v>0</v>
      </c>
    </row>
    <row r="731" spans="1:10">
      <c r="A731" s="16">
        <f>重复匹配率!A754</f>
        <v>0</v>
      </c>
      <c r="B731" s="16">
        <f>重复匹配率!B754</f>
        <v>0</v>
      </c>
      <c r="C731" s="16">
        <f>重复匹配率!C754</f>
        <v>0</v>
      </c>
      <c r="D731" s="16">
        <f>重复匹配率!D754</f>
        <v>0</v>
      </c>
      <c r="E731" s="16">
        <f>重复匹配率!E754</f>
        <v>0</v>
      </c>
      <c r="F731" s="16">
        <f>重复匹配率!F754</f>
        <v>0</v>
      </c>
      <c r="G731" s="16">
        <f>重复匹配率!G754</f>
        <v>0</v>
      </c>
      <c r="H731" s="16">
        <f>重复匹配率!H754</f>
        <v>0</v>
      </c>
      <c r="I731" s="17">
        <v>1</v>
      </c>
      <c r="J731" s="18">
        <f t="shared" si="36"/>
        <v>0</v>
      </c>
    </row>
    <row r="732" spans="1:10">
      <c r="A732" s="16">
        <f>重复匹配率!A755</f>
        <v>0</v>
      </c>
      <c r="B732" s="16">
        <f>重复匹配率!B755</f>
        <v>0</v>
      </c>
      <c r="C732" s="16">
        <f>重复匹配率!C755</f>
        <v>0</v>
      </c>
      <c r="D732" s="16">
        <f>重复匹配率!D755</f>
        <v>0</v>
      </c>
      <c r="E732" s="16">
        <f>重复匹配率!E755</f>
        <v>0</v>
      </c>
      <c r="F732" s="16">
        <f>重复匹配率!F755</f>
        <v>0</v>
      </c>
      <c r="G732" s="16">
        <f>重复匹配率!G755</f>
        <v>0</v>
      </c>
      <c r="H732" s="16">
        <f>重复匹配率!H755</f>
        <v>0</v>
      </c>
      <c r="I732" s="17">
        <v>1</v>
      </c>
      <c r="J732" s="18">
        <f t="shared" si="36"/>
        <v>0</v>
      </c>
    </row>
    <row r="733" spans="1:10">
      <c r="A733" s="19" t="s">
        <v>34</v>
      </c>
      <c r="B733" s="20"/>
      <c r="C733" s="20"/>
      <c r="D733" s="20"/>
      <c r="E733" s="20"/>
      <c r="F733" s="20"/>
      <c r="G733" s="20"/>
      <c r="H733" s="20"/>
      <c r="I733" s="20"/>
      <c r="J733" s="18">
        <f>SUM(J723:J732)</f>
        <v>0</v>
      </c>
    </row>
    <row r="741" spans="1:10">
      <c r="A741">
        <f>重复匹配率!B762</f>
        <v>0</v>
      </c>
    </row>
    <row r="742" ht="24" spans="1:10">
      <c r="A742" s="13">
        <f>重复匹配率!A765</f>
        <v>0</v>
      </c>
      <c r="B742" s="13">
        <f>重复匹配率!B765</f>
        <v>0</v>
      </c>
      <c r="C742" s="13">
        <f>重复匹配率!C765</f>
        <v>0</v>
      </c>
      <c r="D742" s="13">
        <f>重复匹配率!D765</f>
        <v>0</v>
      </c>
      <c r="E742" s="13">
        <f>重复匹配率!E765</f>
        <v>0</v>
      </c>
      <c r="F742" s="13">
        <f>重复匹配率!F765</f>
        <v>0</v>
      </c>
      <c r="G742" s="13">
        <f>重复匹配率!G765</f>
        <v>0</v>
      </c>
      <c r="H742" s="13">
        <f>重复匹配率!H765</f>
        <v>0</v>
      </c>
      <c r="I742" s="14" t="s">
        <v>32</v>
      </c>
      <c r="J742" s="15" t="s">
        <v>33</v>
      </c>
    </row>
    <row r="743" spans="1:10">
      <c r="A743" s="16">
        <f>重复匹配率!A766</f>
        <v>0</v>
      </c>
      <c r="B743" s="16">
        <f>重复匹配率!B766</f>
        <v>0</v>
      </c>
      <c r="C743" s="16">
        <f>重复匹配率!C766</f>
        <v>0</v>
      </c>
      <c r="D743" s="16">
        <f>重复匹配率!D766</f>
        <v>0</v>
      </c>
      <c r="E743" s="16">
        <f>重复匹配率!E766</f>
        <v>0</v>
      </c>
      <c r="F743" s="16">
        <f>重复匹配率!F766</f>
        <v>0</v>
      </c>
      <c r="G743" s="16">
        <f>重复匹配率!G766</f>
        <v>0</v>
      </c>
      <c r="H743" s="16">
        <f>重复匹配率!H766</f>
        <v>0</v>
      </c>
      <c r="I743" s="17">
        <v>0</v>
      </c>
      <c r="J743" s="18">
        <f t="shared" ref="J743:J752" si="37">E743*I743</f>
        <v>0</v>
      </c>
    </row>
    <row r="744" spans="1:10">
      <c r="A744" s="16">
        <f>重复匹配率!A767</f>
        <v>0</v>
      </c>
      <c r="B744" s="16">
        <f>重复匹配率!B767</f>
        <v>0</v>
      </c>
      <c r="C744" s="16">
        <f>重复匹配率!C767</f>
        <v>0</v>
      </c>
      <c r="D744" s="16">
        <f>重复匹配率!D767</f>
        <v>0</v>
      </c>
      <c r="E744" s="16">
        <f>重复匹配率!E767</f>
        <v>0</v>
      </c>
      <c r="F744" s="16">
        <f>重复匹配率!F767</f>
        <v>0</v>
      </c>
      <c r="G744" s="16">
        <f>重复匹配率!G767</f>
        <v>0</v>
      </c>
      <c r="H744" s="16">
        <f>重复匹配率!H767</f>
        <v>0</v>
      </c>
      <c r="I744" s="17">
        <v>0</v>
      </c>
      <c r="J744" s="18">
        <f t="shared" si="37"/>
        <v>0</v>
      </c>
    </row>
    <row r="745" spans="1:10">
      <c r="A745" s="16">
        <f>重复匹配率!A768</f>
        <v>0</v>
      </c>
      <c r="B745" s="16">
        <f>重复匹配率!B768</f>
        <v>0</v>
      </c>
      <c r="C745" s="16">
        <f>重复匹配率!C768</f>
        <v>0</v>
      </c>
      <c r="D745" s="16">
        <f>重复匹配率!D768</f>
        <v>0</v>
      </c>
      <c r="E745" s="16">
        <f>重复匹配率!E768</f>
        <v>0</v>
      </c>
      <c r="F745" s="16">
        <f>重复匹配率!F768</f>
        <v>0</v>
      </c>
      <c r="G745" s="16">
        <f>重复匹配率!G768</f>
        <v>0</v>
      </c>
      <c r="H745" s="16">
        <f>重复匹配率!H768</f>
        <v>0</v>
      </c>
      <c r="I745" s="17">
        <v>0.1</v>
      </c>
      <c r="J745" s="18">
        <f t="shared" si="37"/>
        <v>0</v>
      </c>
    </row>
    <row r="746" spans="1:10">
      <c r="A746" s="16">
        <f>重复匹配率!A769</f>
        <v>0</v>
      </c>
      <c r="B746" s="16">
        <f>重复匹配率!B769</f>
        <v>0</v>
      </c>
      <c r="C746" s="16">
        <f>重复匹配率!C769</f>
        <v>0</v>
      </c>
      <c r="D746" s="16">
        <f>重复匹配率!D769</f>
        <v>0</v>
      </c>
      <c r="E746" s="16">
        <f>重复匹配率!E769</f>
        <v>0</v>
      </c>
      <c r="F746" s="16">
        <f>重复匹配率!F769</f>
        <v>0</v>
      </c>
      <c r="G746" s="16">
        <f>重复匹配率!G769</f>
        <v>0</v>
      </c>
      <c r="H746" s="16">
        <f>重复匹配率!H769</f>
        <v>0</v>
      </c>
      <c r="I746" s="17">
        <v>0</v>
      </c>
      <c r="J746" s="18">
        <f t="shared" si="37"/>
        <v>0</v>
      </c>
    </row>
    <row r="747" spans="1:10">
      <c r="A747" s="16">
        <f>重复匹配率!A770</f>
        <v>0</v>
      </c>
      <c r="B747" s="16">
        <f>重复匹配率!B770</f>
        <v>0</v>
      </c>
      <c r="C747" s="16">
        <f>重复匹配率!C770</f>
        <v>0</v>
      </c>
      <c r="D747" s="16">
        <f>重复匹配率!D770</f>
        <v>0</v>
      </c>
      <c r="E747" s="16">
        <f>重复匹配率!E770</f>
        <v>0</v>
      </c>
      <c r="F747" s="16">
        <f>重复匹配率!F770</f>
        <v>0</v>
      </c>
      <c r="G747" s="16">
        <f>重复匹配率!G770</f>
        <v>0</v>
      </c>
      <c r="H747" s="16">
        <f>重复匹配率!H770</f>
        <v>0</v>
      </c>
      <c r="I747" s="17">
        <v>0.2</v>
      </c>
      <c r="J747" s="18">
        <f t="shared" si="37"/>
        <v>0</v>
      </c>
    </row>
    <row r="748" spans="1:10">
      <c r="A748" s="16">
        <f>重复匹配率!A771</f>
        <v>0</v>
      </c>
      <c r="B748" s="16">
        <f>重复匹配率!B771</f>
        <v>0</v>
      </c>
      <c r="C748" s="16">
        <f>重复匹配率!C771</f>
        <v>0</v>
      </c>
      <c r="D748" s="16">
        <f>重复匹配率!D771</f>
        <v>0</v>
      </c>
      <c r="E748" s="16">
        <f>重复匹配率!E771</f>
        <v>0</v>
      </c>
      <c r="F748" s="16">
        <f>重复匹配率!F771</f>
        <v>0</v>
      </c>
      <c r="G748" s="16">
        <f>重复匹配率!G771</f>
        <v>0</v>
      </c>
      <c r="H748" s="16">
        <f>重复匹配率!H771</f>
        <v>0</v>
      </c>
      <c r="I748" s="17">
        <v>0.3</v>
      </c>
      <c r="J748" s="18">
        <f t="shared" si="37"/>
        <v>0</v>
      </c>
    </row>
    <row r="749" spans="1:10">
      <c r="A749" s="16">
        <f>重复匹配率!A772</f>
        <v>0</v>
      </c>
      <c r="B749" s="16">
        <f>重复匹配率!B772</f>
        <v>0</v>
      </c>
      <c r="C749" s="16">
        <f>重复匹配率!C772</f>
        <v>0</v>
      </c>
      <c r="D749" s="16">
        <f>重复匹配率!D772</f>
        <v>0</v>
      </c>
      <c r="E749" s="16">
        <f>重复匹配率!E772</f>
        <v>0</v>
      </c>
      <c r="F749" s="16">
        <f>重复匹配率!F772</f>
        <v>0</v>
      </c>
      <c r="G749" s="16">
        <f>重复匹配率!G772</f>
        <v>0</v>
      </c>
      <c r="H749" s="16">
        <f>重复匹配率!H772</f>
        <v>0</v>
      </c>
      <c r="I749" s="17">
        <v>0.5</v>
      </c>
      <c r="J749" s="18">
        <f t="shared" si="37"/>
        <v>0</v>
      </c>
    </row>
    <row r="750" spans="1:10">
      <c r="A750" s="16">
        <f>重复匹配率!A773</f>
        <v>0</v>
      </c>
      <c r="B750" s="16">
        <f>重复匹配率!B773</f>
        <v>0</v>
      </c>
      <c r="C750" s="16">
        <f>重复匹配率!C773</f>
        <v>0</v>
      </c>
      <c r="D750" s="16">
        <f>重复匹配率!D773</f>
        <v>0</v>
      </c>
      <c r="E750" s="16">
        <f>重复匹配率!E773</f>
        <v>0</v>
      </c>
      <c r="F750" s="16">
        <f>重复匹配率!F773</f>
        <v>0</v>
      </c>
      <c r="G750" s="16">
        <f>重复匹配率!G773</f>
        <v>0</v>
      </c>
      <c r="H750" s="16">
        <f>重复匹配率!H773</f>
        <v>0</v>
      </c>
      <c r="I750" s="17">
        <v>0.6</v>
      </c>
      <c r="J750" s="18">
        <f t="shared" si="37"/>
        <v>0</v>
      </c>
    </row>
    <row r="751" spans="1:10">
      <c r="A751" s="16">
        <f>重复匹配率!A774</f>
        <v>0</v>
      </c>
      <c r="B751" s="16">
        <f>重复匹配率!B774</f>
        <v>0</v>
      </c>
      <c r="C751" s="16">
        <f>重复匹配率!C774</f>
        <v>0</v>
      </c>
      <c r="D751" s="16">
        <f>重复匹配率!D774</f>
        <v>0</v>
      </c>
      <c r="E751" s="16">
        <f>重复匹配率!E774</f>
        <v>0</v>
      </c>
      <c r="F751" s="16">
        <f>重复匹配率!F774</f>
        <v>0</v>
      </c>
      <c r="G751" s="16">
        <f>重复匹配率!G774</f>
        <v>0</v>
      </c>
      <c r="H751" s="16">
        <f>重复匹配率!H774</f>
        <v>0</v>
      </c>
      <c r="I751" s="17">
        <v>1</v>
      </c>
      <c r="J751" s="18">
        <f t="shared" si="37"/>
        <v>0</v>
      </c>
    </row>
    <row r="752" spans="1:10">
      <c r="A752" s="16">
        <f>重复匹配率!A775</f>
        <v>0</v>
      </c>
      <c r="B752" s="16">
        <f>重复匹配率!B775</f>
        <v>0</v>
      </c>
      <c r="C752" s="16">
        <f>重复匹配率!C775</f>
        <v>0</v>
      </c>
      <c r="D752" s="16">
        <f>重复匹配率!D775</f>
        <v>0</v>
      </c>
      <c r="E752" s="16">
        <f>重复匹配率!E775</f>
        <v>0</v>
      </c>
      <c r="F752" s="16">
        <f>重复匹配率!F775</f>
        <v>0</v>
      </c>
      <c r="G752" s="16">
        <f>重复匹配率!G775</f>
        <v>0</v>
      </c>
      <c r="H752" s="16">
        <f>重复匹配率!H775</f>
        <v>0</v>
      </c>
      <c r="I752" s="17">
        <v>1</v>
      </c>
      <c r="J752" s="18">
        <f t="shared" si="37"/>
        <v>0</v>
      </c>
    </row>
    <row r="753" spans="1:10">
      <c r="A753" s="19" t="s">
        <v>34</v>
      </c>
      <c r="B753" s="20"/>
      <c r="C753" s="20"/>
      <c r="D753" s="20"/>
      <c r="E753" s="20"/>
      <c r="F753" s="20"/>
      <c r="G753" s="20"/>
      <c r="H753" s="20"/>
      <c r="I753" s="20"/>
      <c r="J753" s="18">
        <f>SUM(J743:J752)</f>
        <v>0</v>
      </c>
    </row>
    <row r="761" spans="1:10">
      <c r="A761">
        <f>重复匹配率!B782</f>
        <v>0</v>
      </c>
    </row>
    <row r="762" ht="24" spans="1:10">
      <c r="A762" s="13">
        <f>重复匹配率!A785</f>
        <v>0</v>
      </c>
      <c r="B762" s="13">
        <f>重复匹配率!B785</f>
        <v>0</v>
      </c>
      <c r="C762" s="13">
        <f>重复匹配率!C785</f>
        <v>0</v>
      </c>
      <c r="D762" s="13">
        <f>重复匹配率!D785</f>
        <v>0</v>
      </c>
      <c r="E762" s="13">
        <f>重复匹配率!E785</f>
        <v>0</v>
      </c>
      <c r="F762" s="13">
        <f>重复匹配率!F785</f>
        <v>0</v>
      </c>
      <c r="G762" s="13">
        <f>重复匹配率!G785</f>
        <v>0</v>
      </c>
      <c r="H762" s="13">
        <f>重复匹配率!H785</f>
        <v>0</v>
      </c>
      <c r="I762" s="14" t="s">
        <v>32</v>
      </c>
      <c r="J762" s="15" t="s">
        <v>33</v>
      </c>
    </row>
    <row r="763" spans="1:10">
      <c r="A763" s="16">
        <f>重复匹配率!A786</f>
        <v>0</v>
      </c>
      <c r="B763" s="16">
        <f>重复匹配率!B786</f>
        <v>0</v>
      </c>
      <c r="C763" s="16">
        <f>重复匹配率!C786</f>
        <v>0</v>
      </c>
      <c r="D763" s="16">
        <f>重复匹配率!D786</f>
        <v>0</v>
      </c>
      <c r="E763" s="16">
        <f>重复匹配率!E786</f>
        <v>0</v>
      </c>
      <c r="F763" s="16">
        <f>重复匹配率!F786</f>
        <v>0</v>
      </c>
      <c r="G763" s="16">
        <f>重复匹配率!G786</f>
        <v>0</v>
      </c>
      <c r="H763" s="16">
        <f>重复匹配率!H786</f>
        <v>0</v>
      </c>
      <c r="I763" s="17">
        <v>0</v>
      </c>
      <c r="J763" s="18">
        <f t="shared" ref="J763:J772" si="38">E763*I763</f>
        <v>0</v>
      </c>
    </row>
    <row r="764" spans="1:10">
      <c r="A764" s="16">
        <f>重复匹配率!A787</f>
        <v>0</v>
      </c>
      <c r="B764" s="16">
        <f>重复匹配率!B787</f>
        <v>0</v>
      </c>
      <c r="C764" s="16">
        <f>重复匹配率!C787</f>
        <v>0</v>
      </c>
      <c r="D764" s="16">
        <f>重复匹配率!D787</f>
        <v>0</v>
      </c>
      <c r="E764" s="16">
        <f>重复匹配率!E787</f>
        <v>0</v>
      </c>
      <c r="F764" s="16">
        <f>重复匹配率!F787</f>
        <v>0</v>
      </c>
      <c r="G764" s="16">
        <f>重复匹配率!G787</f>
        <v>0</v>
      </c>
      <c r="H764" s="16">
        <f>重复匹配率!H787</f>
        <v>0</v>
      </c>
      <c r="I764" s="17">
        <v>0</v>
      </c>
      <c r="J764" s="18">
        <f t="shared" si="38"/>
        <v>0</v>
      </c>
    </row>
    <row r="765" spans="1:10">
      <c r="A765" s="16">
        <f>重复匹配率!A788</f>
        <v>0</v>
      </c>
      <c r="B765" s="16">
        <f>重复匹配率!B788</f>
        <v>0</v>
      </c>
      <c r="C765" s="16">
        <f>重复匹配率!C788</f>
        <v>0</v>
      </c>
      <c r="D765" s="16">
        <f>重复匹配率!D788</f>
        <v>0</v>
      </c>
      <c r="E765" s="16">
        <f>重复匹配率!E788</f>
        <v>0</v>
      </c>
      <c r="F765" s="16">
        <f>重复匹配率!F788</f>
        <v>0</v>
      </c>
      <c r="G765" s="16">
        <f>重复匹配率!G788</f>
        <v>0</v>
      </c>
      <c r="H765" s="16">
        <f>重复匹配率!H788</f>
        <v>0</v>
      </c>
      <c r="I765" s="17">
        <v>0.1</v>
      </c>
      <c r="J765" s="18">
        <f t="shared" si="38"/>
        <v>0</v>
      </c>
    </row>
    <row r="766" spans="1:10">
      <c r="A766" s="16">
        <f>重复匹配率!A789</f>
        <v>0</v>
      </c>
      <c r="B766" s="16">
        <f>重复匹配率!B789</f>
        <v>0</v>
      </c>
      <c r="C766" s="16">
        <f>重复匹配率!C789</f>
        <v>0</v>
      </c>
      <c r="D766" s="16">
        <f>重复匹配率!D789</f>
        <v>0</v>
      </c>
      <c r="E766" s="16">
        <f>重复匹配率!E789</f>
        <v>0</v>
      </c>
      <c r="F766" s="16">
        <f>重复匹配率!F789</f>
        <v>0</v>
      </c>
      <c r="G766" s="16">
        <f>重复匹配率!G789</f>
        <v>0</v>
      </c>
      <c r="H766" s="16">
        <f>重复匹配率!H789</f>
        <v>0</v>
      </c>
      <c r="I766" s="17">
        <v>0</v>
      </c>
      <c r="J766" s="18">
        <f t="shared" si="38"/>
        <v>0</v>
      </c>
    </row>
    <row r="767" spans="1:10">
      <c r="A767" s="16">
        <f>重复匹配率!A790</f>
        <v>0</v>
      </c>
      <c r="B767" s="16">
        <f>重复匹配率!B790</f>
        <v>0</v>
      </c>
      <c r="C767" s="16">
        <f>重复匹配率!C790</f>
        <v>0</v>
      </c>
      <c r="D767" s="16">
        <f>重复匹配率!D790</f>
        <v>0</v>
      </c>
      <c r="E767" s="16">
        <f>重复匹配率!E790</f>
        <v>0</v>
      </c>
      <c r="F767" s="16">
        <f>重复匹配率!F790</f>
        <v>0</v>
      </c>
      <c r="G767" s="16">
        <f>重复匹配率!G790</f>
        <v>0</v>
      </c>
      <c r="H767" s="16">
        <f>重复匹配率!H790</f>
        <v>0</v>
      </c>
      <c r="I767" s="17">
        <v>0.2</v>
      </c>
      <c r="J767" s="18">
        <f t="shared" si="38"/>
        <v>0</v>
      </c>
    </row>
    <row r="768" spans="1:10">
      <c r="A768" s="16">
        <f>重复匹配率!A791</f>
        <v>0</v>
      </c>
      <c r="B768" s="16">
        <f>重复匹配率!B791</f>
        <v>0</v>
      </c>
      <c r="C768" s="16">
        <f>重复匹配率!C791</f>
        <v>0</v>
      </c>
      <c r="D768" s="16">
        <f>重复匹配率!D791</f>
        <v>0</v>
      </c>
      <c r="E768" s="16">
        <f>重复匹配率!E791</f>
        <v>0</v>
      </c>
      <c r="F768" s="16">
        <f>重复匹配率!F791</f>
        <v>0</v>
      </c>
      <c r="G768" s="16">
        <f>重复匹配率!G791</f>
        <v>0</v>
      </c>
      <c r="H768" s="16">
        <f>重复匹配率!H791</f>
        <v>0</v>
      </c>
      <c r="I768" s="17">
        <v>0.3</v>
      </c>
      <c r="J768" s="18">
        <f t="shared" si="38"/>
        <v>0</v>
      </c>
    </row>
    <row r="769" spans="1:10">
      <c r="A769" s="16">
        <f>重复匹配率!A792</f>
        <v>0</v>
      </c>
      <c r="B769" s="16">
        <f>重复匹配率!B792</f>
        <v>0</v>
      </c>
      <c r="C769" s="16">
        <f>重复匹配率!C792</f>
        <v>0</v>
      </c>
      <c r="D769" s="16">
        <f>重复匹配率!D792</f>
        <v>0</v>
      </c>
      <c r="E769" s="16">
        <f>重复匹配率!E792</f>
        <v>0</v>
      </c>
      <c r="F769" s="16">
        <f>重复匹配率!F792</f>
        <v>0</v>
      </c>
      <c r="G769" s="16">
        <f>重复匹配率!G792</f>
        <v>0</v>
      </c>
      <c r="H769" s="16">
        <f>重复匹配率!H792</f>
        <v>0</v>
      </c>
      <c r="I769" s="17">
        <v>0.5</v>
      </c>
      <c r="J769" s="18">
        <f t="shared" si="38"/>
        <v>0</v>
      </c>
    </row>
    <row r="770" spans="1:10">
      <c r="A770" s="16">
        <f>重复匹配率!A793</f>
        <v>0</v>
      </c>
      <c r="B770" s="16">
        <f>重复匹配率!B793</f>
        <v>0</v>
      </c>
      <c r="C770" s="16">
        <f>重复匹配率!C793</f>
        <v>0</v>
      </c>
      <c r="D770" s="16">
        <f>重复匹配率!D793</f>
        <v>0</v>
      </c>
      <c r="E770" s="16">
        <f>重复匹配率!E793</f>
        <v>0</v>
      </c>
      <c r="F770" s="16">
        <f>重复匹配率!F793</f>
        <v>0</v>
      </c>
      <c r="G770" s="16">
        <f>重复匹配率!G793</f>
        <v>0</v>
      </c>
      <c r="H770" s="16">
        <f>重复匹配率!H793</f>
        <v>0</v>
      </c>
      <c r="I770" s="17">
        <v>0.6</v>
      </c>
      <c r="J770" s="18">
        <f t="shared" si="38"/>
        <v>0</v>
      </c>
    </row>
    <row r="771" spans="1:10">
      <c r="A771" s="16">
        <f>重复匹配率!A794</f>
        <v>0</v>
      </c>
      <c r="B771" s="16">
        <f>重复匹配率!B794</f>
        <v>0</v>
      </c>
      <c r="C771" s="16">
        <f>重复匹配率!C794</f>
        <v>0</v>
      </c>
      <c r="D771" s="16">
        <f>重复匹配率!D794</f>
        <v>0</v>
      </c>
      <c r="E771" s="16">
        <f>重复匹配率!E794</f>
        <v>0</v>
      </c>
      <c r="F771" s="16">
        <f>重复匹配率!F794</f>
        <v>0</v>
      </c>
      <c r="G771" s="16">
        <f>重复匹配率!G794</f>
        <v>0</v>
      </c>
      <c r="H771" s="16">
        <f>重复匹配率!H794</f>
        <v>0</v>
      </c>
      <c r="I771" s="17">
        <v>1</v>
      </c>
      <c r="J771" s="18">
        <f t="shared" si="38"/>
        <v>0</v>
      </c>
    </row>
    <row r="772" spans="1:10">
      <c r="A772" s="16">
        <f>重复匹配率!A795</f>
        <v>0</v>
      </c>
      <c r="B772" s="16">
        <f>重复匹配率!B795</f>
        <v>0</v>
      </c>
      <c r="C772" s="16">
        <f>重复匹配率!C795</f>
        <v>0</v>
      </c>
      <c r="D772" s="16">
        <f>重复匹配率!D795</f>
        <v>0</v>
      </c>
      <c r="E772" s="16">
        <f>重复匹配率!E795</f>
        <v>0</v>
      </c>
      <c r="F772" s="16">
        <f>重复匹配率!F795</f>
        <v>0</v>
      </c>
      <c r="G772" s="16">
        <f>重复匹配率!G795</f>
        <v>0</v>
      </c>
      <c r="H772" s="16">
        <f>重复匹配率!H795</f>
        <v>0</v>
      </c>
      <c r="I772" s="17">
        <v>1</v>
      </c>
      <c r="J772" s="18">
        <f t="shared" si="38"/>
        <v>0</v>
      </c>
    </row>
    <row r="773" spans="1:10">
      <c r="A773" s="19" t="s">
        <v>34</v>
      </c>
      <c r="B773" s="20"/>
      <c r="C773" s="20"/>
      <c r="D773" s="20"/>
      <c r="E773" s="20"/>
      <c r="F773" s="20"/>
      <c r="G773" s="20"/>
      <c r="H773" s="20"/>
      <c r="I773" s="20"/>
      <c r="J773" s="18">
        <f>SUM(J763:J772)</f>
        <v>0</v>
      </c>
    </row>
    <row r="781" spans="1:10">
      <c r="A781">
        <f>重复匹配率!B802</f>
        <v>0</v>
      </c>
    </row>
    <row r="782" ht="24" spans="1:10">
      <c r="A782" s="13">
        <f>重复匹配率!A805</f>
        <v>0</v>
      </c>
      <c r="B782" s="13">
        <f>重复匹配率!B805</f>
        <v>0</v>
      </c>
      <c r="C782" s="13">
        <f>重复匹配率!C805</f>
        <v>0</v>
      </c>
      <c r="D782" s="13">
        <f>重复匹配率!D805</f>
        <v>0</v>
      </c>
      <c r="E782" s="13">
        <f>重复匹配率!E805</f>
        <v>0</v>
      </c>
      <c r="F782" s="13">
        <f>重复匹配率!F805</f>
        <v>0</v>
      </c>
      <c r="G782" s="13">
        <f>重复匹配率!G805</f>
        <v>0</v>
      </c>
      <c r="H782" s="13">
        <f>重复匹配率!H805</f>
        <v>0</v>
      </c>
      <c r="I782" s="14" t="s">
        <v>32</v>
      </c>
      <c r="J782" s="15" t="s">
        <v>33</v>
      </c>
    </row>
    <row r="783" spans="1:10">
      <c r="A783" s="16">
        <f>重复匹配率!A806</f>
        <v>0</v>
      </c>
      <c r="B783" s="16">
        <f>重复匹配率!B806</f>
        <v>0</v>
      </c>
      <c r="C783" s="16">
        <f>重复匹配率!C806</f>
        <v>0</v>
      </c>
      <c r="D783" s="16">
        <f>重复匹配率!D806</f>
        <v>0</v>
      </c>
      <c r="E783" s="16">
        <f>重复匹配率!E806</f>
        <v>0</v>
      </c>
      <c r="F783" s="16">
        <f>重复匹配率!F806</f>
        <v>0</v>
      </c>
      <c r="G783" s="16">
        <f>重复匹配率!G806</f>
        <v>0</v>
      </c>
      <c r="H783" s="16">
        <f>重复匹配率!H806</f>
        <v>0</v>
      </c>
      <c r="I783" s="17">
        <v>0</v>
      </c>
      <c r="J783" s="18">
        <f t="shared" ref="J783:J792" si="39">E783*I783</f>
        <v>0</v>
      </c>
    </row>
    <row r="784" spans="1:10">
      <c r="A784" s="16">
        <f>重复匹配率!A807</f>
        <v>0</v>
      </c>
      <c r="B784" s="16">
        <f>重复匹配率!B807</f>
        <v>0</v>
      </c>
      <c r="C784" s="16">
        <f>重复匹配率!C807</f>
        <v>0</v>
      </c>
      <c r="D784" s="16">
        <f>重复匹配率!D807</f>
        <v>0</v>
      </c>
      <c r="E784" s="16">
        <f>重复匹配率!E807</f>
        <v>0</v>
      </c>
      <c r="F784" s="16">
        <f>重复匹配率!F807</f>
        <v>0</v>
      </c>
      <c r="G784" s="16">
        <f>重复匹配率!G807</f>
        <v>0</v>
      </c>
      <c r="H784" s="16">
        <f>重复匹配率!H807</f>
        <v>0</v>
      </c>
      <c r="I784" s="17">
        <v>0</v>
      </c>
      <c r="J784" s="18">
        <f t="shared" si="39"/>
        <v>0</v>
      </c>
    </row>
    <row r="785" spans="1:10">
      <c r="A785" s="16">
        <f>重复匹配率!A808</f>
        <v>0</v>
      </c>
      <c r="B785" s="16">
        <f>重复匹配率!B808</f>
        <v>0</v>
      </c>
      <c r="C785" s="16">
        <f>重复匹配率!C808</f>
        <v>0</v>
      </c>
      <c r="D785" s="16">
        <f>重复匹配率!D808</f>
        <v>0</v>
      </c>
      <c r="E785" s="16">
        <f>重复匹配率!E808</f>
        <v>0</v>
      </c>
      <c r="F785" s="16">
        <f>重复匹配率!F808</f>
        <v>0</v>
      </c>
      <c r="G785" s="16">
        <f>重复匹配率!G808</f>
        <v>0</v>
      </c>
      <c r="H785" s="16">
        <f>重复匹配率!H808</f>
        <v>0</v>
      </c>
      <c r="I785" s="17">
        <v>0.1</v>
      </c>
      <c r="J785" s="18">
        <f t="shared" si="39"/>
        <v>0</v>
      </c>
    </row>
    <row r="786" spans="1:10">
      <c r="A786" s="16">
        <f>重复匹配率!A809</f>
        <v>0</v>
      </c>
      <c r="B786" s="16">
        <f>重复匹配率!B809</f>
        <v>0</v>
      </c>
      <c r="C786" s="16">
        <f>重复匹配率!C809</f>
        <v>0</v>
      </c>
      <c r="D786" s="16">
        <f>重复匹配率!D809</f>
        <v>0</v>
      </c>
      <c r="E786" s="16">
        <f>重复匹配率!E809</f>
        <v>0</v>
      </c>
      <c r="F786" s="16">
        <f>重复匹配率!F809</f>
        <v>0</v>
      </c>
      <c r="G786" s="16">
        <f>重复匹配率!G809</f>
        <v>0</v>
      </c>
      <c r="H786" s="16">
        <f>重复匹配率!H809</f>
        <v>0</v>
      </c>
      <c r="I786" s="17">
        <v>0</v>
      </c>
      <c r="J786" s="18">
        <f t="shared" si="39"/>
        <v>0</v>
      </c>
    </row>
    <row r="787" spans="1:10">
      <c r="A787" s="16">
        <f>重复匹配率!A810</f>
        <v>0</v>
      </c>
      <c r="B787" s="16">
        <f>重复匹配率!B810</f>
        <v>0</v>
      </c>
      <c r="C787" s="16">
        <f>重复匹配率!C810</f>
        <v>0</v>
      </c>
      <c r="D787" s="16">
        <f>重复匹配率!D810</f>
        <v>0</v>
      </c>
      <c r="E787" s="16">
        <f>重复匹配率!E810</f>
        <v>0</v>
      </c>
      <c r="F787" s="16">
        <f>重复匹配率!F810</f>
        <v>0</v>
      </c>
      <c r="G787" s="16">
        <f>重复匹配率!G810</f>
        <v>0</v>
      </c>
      <c r="H787" s="16">
        <f>重复匹配率!H810</f>
        <v>0</v>
      </c>
      <c r="I787" s="17">
        <v>0.2</v>
      </c>
      <c r="J787" s="18">
        <f t="shared" si="39"/>
        <v>0</v>
      </c>
    </row>
    <row r="788" spans="1:10">
      <c r="A788" s="16">
        <f>重复匹配率!A811</f>
        <v>0</v>
      </c>
      <c r="B788" s="16">
        <f>重复匹配率!B811</f>
        <v>0</v>
      </c>
      <c r="C788" s="16">
        <f>重复匹配率!C811</f>
        <v>0</v>
      </c>
      <c r="D788" s="16">
        <f>重复匹配率!D811</f>
        <v>0</v>
      </c>
      <c r="E788" s="16">
        <f>重复匹配率!E811</f>
        <v>0</v>
      </c>
      <c r="F788" s="16">
        <f>重复匹配率!F811</f>
        <v>0</v>
      </c>
      <c r="G788" s="16">
        <f>重复匹配率!G811</f>
        <v>0</v>
      </c>
      <c r="H788" s="16">
        <f>重复匹配率!H811</f>
        <v>0</v>
      </c>
      <c r="I788" s="17">
        <v>0.3</v>
      </c>
      <c r="J788" s="18">
        <f t="shared" si="39"/>
        <v>0</v>
      </c>
    </row>
    <row r="789" spans="1:10">
      <c r="A789" s="16">
        <f>重复匹配率!A812</f>
        <v>0</v>
      </c>
      <c r="B789" s="16">
        <f>重复匹配率!B812</f>
        <v>0</v>
      </c>
      <c r="C789" s="16">
        <f>重复匹配率!C812</f>
        <v>0</v>
      </c>
      <c r="D789" s="16">
        <f>重复匹配率!D812</f>
        <v>0</v>
      </c>
      <c r="E789" s="16">
        <f>重复匹配率!E812</f>
        <v>0</v>
      </c>
      <c r="F789" s="16">
        <f>重复匹配率!F812</f>
        <v>0</v>
      </c>
      <c r="G789" s="16">
        <f>重复匹配率!G812</f>
        <v>0</v>
      </c>
      <c r="H789" s="16">
        <f>重复匹配率!H812</f>
        <v>0</v>
      </c>
      <c r="I789" s="17">
        <v>0.5</v>
      </c>
      <c r="J789" s="18">
        <f t="shared" si="39"/>
        <v>0</v>
      </c>
    </row>
    <row r="790" spans="1:10">
      <c r="A790" s="16">
        <f>重复匹配率!A813</f>
        <v>0</v>
      </c>
      <c r="B790" s="16">
        <f>重复匹配率!B813</f>
        <v>0</v>
      </c>
      <c r="C790" s="16">
        <f>重复匹配率!C813</f>
        <v>0</v>
      </c>
      <c r="D790" s="16">
        <f>重复匹配率!D813</f>
        <v>0</v>
      </c>
      <c r="E790" s="16">
        <f>重复匹配率!E813</f>
        <v>0</v>
      </c>
      <c r="F790" s="16">
        <f>重复匹配率!F813</f>
        <v>0</v>
      </c>
      <c r="G790" s="16">
        <f>重复匹配率!G813</f>
        <v>0</v>
      </c>
      <c r="H790" s="16">
        <f>重复匹配率!H813</f>
        <v>0</v>
      </c>
      <c r="I790" s="17">
        <v>0.6</v>
      </c>
      <c r="J790" s="18">
        <f t="shared" si="39"/>
        <v>0</v>
      </c>
    </row>
    <row r="791" spans="1:10">
      <c r="A791" s="16">
        <f>重复匹配率!A814</f>
        <v>0</v>
      </c>
      <c r="B791" s="16">
        <f>重复匹配率!B814</f>
        <v>0</v>
      </c>
      <c r="C791" s="16">
        <f>重复匹配率!C814</f>
        <v>0</v>
      </c>
      <c r="D791" s="16">
        <f>重复匹配率!D814</f>
        <v>0</v>
      </c>
      <c r="E791" s="16">
        <f>重复匹配率!E814</f>
        <v>0</v>
      </c>
      <c r="F791" s="16">
        <f>重复匹配率!F814</f>
        <v>0</v>
      </c>
      <c r="G791" s="16">
        <f>重复匹配率!G814</f>
        <v>0</v>
      </c>
      <c r="H791" s="16">
        <f>重复匹配率!H814</f>
        <v>0</v>
      </c>
      <c r="I791" s="17">
        <v>1</v>
      </c>
      <c r="J791" s="18">
        <f t="shared" si="39"/>
        <v>0</v>
      </c>
    </row>
    <row r="792" spans="1:10">
      <c r="A792" s="16">
        <f>重复匹配率!A815</f>
        <v>0</v>
      </c>
      <c r="B792" s="16">
        <f>重复匹配率!B815</f>
        <v>0</v>
      </c>
      <c r="C792" s="16">
        <f>重复匹配率!C815</f>
        <v>0</v>
      </c>
      <c r="D792" s="16">
        <f>重复匹配率!D815</f>
        <v>0</v>
      </c>
      <c r="E792" s="16">
        <f>重复匹配率!E815</f>
        <v>0</v>
      </c>
      <c r="F792" s="16">
        <f>重复匹配率!F815</f>
        <v>0</v>
      </c>
      <c r="G792" s="16">
        <f>重复匹配率!G815</f>
        <v>0</v>
      </c>
      <c r="H792" s="16">
        <f>重复匹配率!H815</f>
        <v>0</v>
      </c>
      <c r="I792" s="17">
        <v>1</v>
      </c>
      <c r="J792" s="18">
        <f t="shared" si="39"/>
        <v>0</v>
      </c>
    </row>
    <row r="793" spans="1:10">
      <c r="A793" s="19" t="s">
        <v>34</v>
      </c>
      <c r="B793" s="20"/>
      <c r="C793" s="20"/>
      <c r="D793" s="20"/>
      <c r="E793" s="20"/>
      <c r="F793" s="20"/>
      <c r="G793" s="20"/>
      <c r="H793" s="20"/>
      <c r="I793" s="20"/>
      <c r="J793" s="18">
        <f>SUM(J783:J792)</f>
        <v>0</v>
      </c>
    </row>
    <row r="801" spans="1:10">
      <c r="A801">
        <f>重复匹配率!B822</f>
        <v>0</v>
      </c>
    </row>
    <row r="802" ht="24" spans="1:10">
      <c r="A802" s="13">
        <f>重复匹配率!A825</f>
        <v>0</v>
      </c>
      <c r="B802" s="13">
        <f>重复匹配率!B825</f>
        <v>0</v>
      </c>
      <c r="C802" s="13">
        <f>重复匹配率!C825</f>
        <v>0</v>
      </c>
      <c r="D802" s="13">
        <f>重复匹配率!D825</f>
        <v>0</v>
      </c>
      <c r="E802" s="13">
        <f>重复匹配率!E825</f>
        <v>0</v>
      </c>
      <c r="F802" s="13">
        <f>重复匹配率!F825</f>
        <v>0</v>
      </c>
      <c r="G802" s="13">
        <f>重复匹配率!G825</f>
        <v>0</v>
      </c>
      <c r="H802" s="13">
        <f>重复匹配率!H825</f>
        <v>0</v>
      </c>
      <c r="I802" s="14" t="s">
        <v>32</v>
      </c>
      <c r="J802" s="15" t="s">
        <v>33</v>
      </c>
    </row>
    <row r="803" spans="1:10">
      <c r="A803" s="16">
        <f>重复匹配率!A826</f>
        <v>0</v>
      </c>
      <c r="B803" s="16">
        <f>重复匹配率!B826</f>
        <v>0</v>
      </c>
      <c r="C803" s="16">
        <f>重复匹配率!C826</f>
        <v>0</v>
      </c>
      <c r="D803" s="16">
        <f>重复匹配率!D826</f>
        <v>0</v>
      </c>
      <c r="E803" s="16">
        <f>重复匹配率!E826</f>
        <v>0</v>
      </c>
      <c r="F803" s="16">
        <f>重复匹配率!F826</f>
        <v>0</v>
      </c>
      <c r="G803" s="16">
        <f>重复匹配率!G826</f>
        <v>0</v>
      </c>
      <c r="H803" s="16">
        <f>重复匹配率!H826</f>
        <v>0</v>
      </c>
      <c r="I803" s="17">
        <v>0</v>
      </c>
      <c r="J803" s="18">
        <f t="shared" ref="J803:J812" si="40">E803*I803</f>
        <v>0</v>
      </c>
    </row>
    <row r="804" spans="1:10">
      <c r="A804" s="16">
        <f>重复匹配率!A827</f>
        <v>0</v>
      </c>
      <c r="B804" s="16">
        <f>重复匹配率!B827</f>
        <v>0</v>
      </c>
      <c r="C804" s="16">
        <f>重复匹配率!C827</f>
        <v>0</v>
      </c>
      <c r="D804" s="16">
        <f>重复匹配率!D827</f>
        <v>0</v>
      </c>
      <c r="E804" s="16">
        <f>重复匹配率!E827</f>
        <v>0</v>
      </c>
      <c r="F804" s="16">
        <f>重复匹配率!F827</f>
        <v>0</v>
      </c>
      <c r="G804" s="16">
        <f>重复匹配率!G827</f>
        <v>0</v>
      </c>
      <c r="H804" s="16">
        <f>重复匹配率!H827</f>
        <v>0</v>
      </c>
      <c r="I804" s="17">
        <v>0</v>
      </c>
      <c r="J804" s="18">
        <f t="shared" si="40"/>
        <v>0</v>
      </c>
    </row>
    <row r="805" spans="1:10">
      <c r="A805" s="16">
        <f>重复匹配率!A828</f>
        <v>0</v>
      </c>
      <c r="B805" s="16">
        <f>重复匹配率!B828</f>
        <v>0</v>
      </c>
      <c r="C805" s="16">
        <f>重复匹配率!C828</f>
        <v>0</v>
      </c>
      <c r="D805" s="16">
        <f>重复匹配率!D828</f>
        <v>0</v>
      </c>
      <c r="E805" s="16">
        <f>重复匹配率!E828</f>
        <v>0</v>
      </c>
      <c r="F805" s="16">
        <f>重复匹配率!F828</f>
        <v>0</v>
      </c>
      <c r="G805" s="16">
        <f>重复匹配率!G828</f>
        <v>0</v>
      </c>
      <c r="H805" s="16">
        <f>重复匹配率!H828</f>
        <v>0</v>
      </c>
      <c r="I805" s="17">
        <v>0.1</v>
      </c>
      <c r="J805" s="18">
        <f t="shared" si="40"/>
        <v>0</v>
      </c>
    </row>
    <row r="806" spans="1:10">
      <c r="A806" s="16">
        <f>重复匹配率!A829</f>
        <v>0</v>
      </c>
      <c r="B806" s="16">
        <f>重复匹配率!B829</f>
        <v>0</v>
      </c>
      <c r="C806" s="16">
        <f>重复匹配率!C829</f>
        <v>0</v>
      </c>
      <c r="D806" s="16">
        <f>重复匹配率!D829</f>
        <v>0</v>
      </c>
      <c r="E806" s="16">
        <f>重复匹配率!E829</f>
        <v>0</v>
      </c>
      <c r="F806" s="16">
        <f>重复匹配率!F829</f>
        <v>0</v>
      </c>
      <c r="G806" s="16">
        <f>重复匹配率!G829</f>
        <v>0</v>
      </c>
      <c r="H806" s="16">
        <f>重复匹配率!H829</f>
        <v>0</v>
      </c>
      <c r="I806" s="17">
        <v>0</v>
      </c>
      <c r="J806" s="18">
        <f t="shared" si="40"/>
        <v>0</v>
      </c>
    </row>
    <row r="807" spans="1:10">
      <c r="A807" s="16">
        <f>重复匹配率!A830</f>
        <v>0</v>
      </c>
      <c r="B807" s="16">
        <f>重复匹配率!B830</f>
        <v>0</v>
      </c>
      <c r="C807" s="16">
        <f>重复匹配率!C830</f>
        <v>0</v>
      </c>
      <c r="D807" s="16">
        <f>重复匹配率!D830</f>
        <v>0</v>
      </c>
      <c r="E807" s="16">
        <f>重复匹配率!E830</f>
        <v>0</v>
      </c>
      <c r="F807" s="16">
        <f>重复匹配率!F830</f>
        <v>0</v>
      </c>
      <c r="G807" s="16">
        <f>重复匹配率!G830</f>
        <v>0</v>
      </c>
      <c r="H807" s="16">
        <f>重复匹配率!H830</f>
        <v>0</v>
      </c>
      <c r="I807" s="17">
        <v>0.2</v>
      </c>
      <c r="J807" s="18">
        <f t="shared" si="40"/>
        <v>0</v>
      </c>
    </row>
    <row r="808" spans="1:10">
      <c r="A808" s="16">
        <f>重复匹配率!A831</f>
        <v>0</v>
      </c>
      <c r="B808" s="16">
        <f>重复匹配率!B831</f>
        <v>0</v>
      </c>
      <c r="C808" s="16">
        <f>重复匹配率!C831</f>
        <v>0</v>
      </c>
      <c r="D808" s="16">
        <f>重复匹配率!D831</f>
        <v>0</v>
      </c>
      <c r="E808" s="16">
        <f>重复匹配率!E831</f>
        <v>0</v>
      </c>
      <c r="F808" s="16">
        <f>重复匹配率!F831</f>
        <v>0</v>
      </c>
      <c r="G808" s="16">
        <f>重复匹配率!G831</f>
        <v>0</v>
      </c>
      <c r="H808" s="16">
        <f>重复匹配率!H831</f>
        <v>0</v>
      </c>
      <c r="I808" s="17">
        <v>0.3</v>
      </c>
      <c r="J808" s="18">
        <f t="shared" si="40"/>
        <v>0</v>
      </c>
    </row>
    <row r="809" spans="1:10">
      <c r="A809" s="16">
        <f>重复匹配率!A832</f>
        <v>0</v>
      </c>
      <c r="B809" s="16">
        <f>重复匹配率!B832</f>
        <v>0</v>
      </c>
      <c r="C809" s="16">
        <f>重复匹配率!C832</f>
        <v>0</v>
      </c>
      <c r="D809" s="16">
        <f>重复匹配率!D832</f>
        <v>0</v>
      </c>
      <c r="E809" s="16">
        <f>重复匹配率!E832</f>
        <v>0</v>
      </c>
      <c r="F809" s="16">
        <f>重复匹配率!F832</f>
        <v>0</v>
      </c>
      <c r="G809" s="16">
        <f>重复匹配率!G832</f>
        <v>0</v>
      </c>
      <c r="H809" s="16">
        <f>重复匹配率!H832</f>
        <v>0</v>
      </c>
      <c r="I809" s="17">
        <v>0.5</v>
      </c>
      <c r="J809" s="18">
        <f t="shared" si="40"/>
        <v>0</v>
      </c>
    </row>
    <row r="810" spans="1:10">
      <c r="A810" s="16">
        <f>重复匹配率!A833</f>
        <v>0</v>
      </c>
      <c r="B810" s="16">
        <f>重复匹配率!B833</f>
        <v>0</v>
      </c>
      <c r="C810" s="16">
        <f>重复匹配率!C833</f>
        <v>0</v>
      </c>
      <c r="D810" s="16">
        <f>重复匹配率!D833</f>
        <v>0</v>
      </c>
      <c r="E810" s="16">
        <f>重复匹配率!E833</f>
        <v>0</v>
      </c>
      <c r="F810" s="16">
        <f>重复匹配率!F833</f>
        <v>0</v>
      </c>
      <c r="G810" s="16">
        <f>重复匹配率!G833</f>
        <v>0</v>
      </c>
      <c r="H810" s="16">
        <f>重复匹配率!H833</f>
        <v>0</v>
      </c>
      <c r="I810" s="17">
        <v>0.6</v>
      </c>
      <c r="J810" s="18">
        <f t="shared" si="40"/>
        <v>0</v>
      </c>
    </row>
    <row r="811" spans="1:10">
      <c r="A811" s="16">
        <f>重复匹配率!A834</f>
        <v>0</v>
      </c>
      <c r="B811" s="16">
        <f>重复匹配率!B834</f>
        <v>0</v>
      </c>
      <c r="C811" s="16">
        <f>重复匹配率!C834</f>
        <v>0</v>
      </c>
      <c r="D811" s="16">
        <f>重复匹配率!D834</f>
        <v>0</v>
      </c>
      <c r="E811" s="16">
        <f>重复匹配率!E834</f>
        <v>0</v>
      </c>
      <c r="F811" s="16">
        <f>重复匹配率!F834</f>
        <v>0</v>
      </c>
      <c r="G811" s="16">
        <f>重复匹配率!G834</f>
        <v>0</v>
      </c>
      <c r="H811" s="16">
        <f>重复匹配率!H834</f>
        <v>0</v>
      </c>
      <c r="I811" s="17">
        <v>1</v>
      </c>
      <c r="J811" s="18">
        <f t="shared" si="40"/>
        <v>0</v>
      </c>
    </row>
    <row r="812" spans="1:10">
      <c r="A812" s="16">
        <f>重复匹配率!A835</f>
        <v>0</v>
      </c>
      <c r="B812" s="16">
        <f>重复匹配率!B835</f>
        <v>0</v>
      </c>
      <c r="C812" s="16">
        <f>重复匹配率!C835</f>
        <v>0</v>
      </c>
      <c r="D812" s="16">
        <f>重复匹配率!D835</f>
        <v>0</v>
      </c>
      <c r="E812" s="16">
        <f>重复匹配率!E835</f>
        <v>0</v>
      </c>
      <c r="F812" s="16">
        <f>重复匹配率!F835</f>
        <v>0</v>
      </c>
      <c r="G812" s="16">
        <f>重复匹配率!G835</f>
        <v>0</v>
      </c>
      <c r="H812" s="16">
        <f>重复匹配率!H835</f>
        <v>0</v>
      </c>
      <c r="I812" s="17">
        <v>1</v>
      </c>
      <c r="J812" s="18">
        <f t="shared" si="40"/>
        <v>0</v>
      </c>
    </row>
    <row r="813" spans="1:10">
      <c r="A813" s="19" t="s">
        <v>34</v>
      </c>
      <c r="B813" s="20"/>
      <c r="C813" s="20"/>
      <c r="D813" s="20"/>
      <c r="E813" s="20"/>
      <c r="F813" s="20"/>
      <c r="G813" s="20"/>
      <c r="H813" s="20"/>
      <c r="I813" s="20"/>
      <c r="J813" s="18">
        <f>SUM(J803:J812)</f>
        <v>0</v>
      </c>
    </row>
    <row r="821" spans="1:10">
      <c r="A821">
        <f>重复匹配率!B842</f>
        <v>0</v>
      </c>
    </row>
    <row r="822" ht="24" spans="1:10">
      <c r="A822" s="13">
        <f>重复匹配率!A845</f>
        <v>0</v>
      </c>
      <c r="B822" s="13">
        <f>重复匹配率!B845</f>
        <v>0</v>
      </c>
      <c r="C822" s="13">
        <f>重复匹配率!C845</f>
        <v>0</v>
      </c>
      <c r="D822" s="13">
        <f>重复匹配率!D845</f>
        <v>0</v>
      </c>
      <c r="E822" s="13">
        <f>重复匹配率!E845</f>
        <v>0</v>
      </c>
      <c r="F822" s="13">
        <f>重复匹配率!F845</f>
        <v>0</v>
      </c>
      <c r="G822" s="13">
        <f>重复匹配率!G845</f>
        <v>0</v>
      </c>
      <c r="H822" s="13">
        <f>重复匹配率!H845</f>
        <v>0</v>
      </c>
      <c r="I822" s="14" t="s">
        <v>32</v>
      </c>
      <c r="J822" s="15" t="s">
        <v>33</v>
      </c>
    </row>
    <row r="823" spans="1:10">
      <c r="A823" s="16">
        <f>重复匹配率!A846</f>
        <v>0</v>
      </c>
      <c r="B823" s="16">
        <f>重复匹配率!B846</f>
        <v>0</v>
      </c>
      <c r="C823" s="16">
        <f>重复匹配率!C846</f>
        <v>0</v>
      </c>
      <c r="D823" s="16">
        <f>重复匹配率!D846</f>
        <v>0</v>
      </c>
      <c r="E823" s="16">
        <f>重复匹配率!E846</f>
        <v>0</v>
      </c>
      <c r="F823" s="16">
        <f>重复匹配率!F846</f>
        <v>0</v>
      </c>
      <c r="G823" s="16">
        <f>重复匹配率!G846</f>
        <v>0</v>
      </c>
      <c r="H823" s="16">
        <f>重复匹配率!H846</f>
        <v>0</v>
      </c>
      <c r="I823" s="17">
        <v>0</v>
      </c>
      <c r="J823" s="18">
        <f t="shared" ref="J823:J832" si="41">E823*I823</f>
        <v>0</v>
      </c>
    </row>
    <row r="824" spans="1:10">
      <c r="A824" s="16">
        <f>重复匹配率!A847</f>
        <v>0</v>
      </c>
      <c r="B824" s="16">
        <f>重复匹配率!B847</f>
        <v>0</v>
      </c>
      <c r="C824" s="16">
        <f>重复匹配率!C847</f>
        <v>0</v>
      </c>
      <c r="D824" s="16">
        <f>重复匹配率!D847</f>
        <v>0</v>
      </c>
      <c r="E824" s="16">
        <f>重复匹配率!E847</f>
        <v>0</v>
      </c>
      <c r="F824" s="16">
        <f>重复匹配率!F847</f>
        <v>0</v>
      </c>
      <c r="G824" s="16">
        <f>重复匹配率!G847</f>
        <v>0</v>
      </c>
      <c r="H824" s="16">
        <f>重复匹配率!H847</f>
        <v>0</v>
      </c>
      <c r="I824" s="17">
        <v>0</v>
      </c>
      <c r="J824" s="18">
        <f t="shared" si="41"/>
        <v>0</v>
      </c>
    </row>
    <row r="825" spans="1:10">
      <c r="A825" s="16">
        <f>重复匹配率!A848</f>
        <v>0</v>
      </c>
      <c r="B825" s="16">
        <f>重复匹配率!B848</f>
        <v>0</v>
      </c>
      <c r="C825" s="16">
        <f>重复匹配率!C848</f>
        <v>0</v>
      </c>
      <c r="D825" s="16">
        <f>重复匹配率!D848</f>
        <v>0</v>
      </c>
      <c r="E825" s="16">
        <f>重复匹配率!E848</f>
        <v>0</v>
      </c>
      <c r="F825" s="16">
        <f>重复匹配率!F848</f>
        <v>0</v>
      </c>
      <c r="G825" s="16">
        <f>重复匹配率!G848</f>
        <v>0</v>
      </c>
      <c r="H825" s="16">
        <f>重复匹配率!H848</f>
        <v>0</v>
      </c>
      <c r="I825" s="17">
        <v>0.1</v>
      </c>
      <c r="J825" s="18">
        <f t="shared" si="41"/>
        <v>0</v>
      </c>
    </row>
    <row r="826" spans="1:10">
      <c r="A826" s="16">
        <f>重复匹配率!A849</f>
        <v>0</v>
      </c>
      <c r="B826" s="16">
        <f>重复匹配率!B849</f>
        <v>0</v>
      </c>
      <c r="C826" s="16">
        <f>重复匹配率!C849</f>
        <v>0</v>
      </c>
      <c r="D826" s="16">
        <f>重复匹配率!D849</f>
        <v>0</v>
      </c>
      <c r="E826" s="16">
        <f>重复匹配率!E849</f>
        <v>0</v>
      </c>
      <c r="F826" s="16">
        <f>重复匹配率!F849</f>
        <v>0</v>
      </c>
      <c r="G826" s="16">
        <f>重复匹配率!G849</f>
        <v>0</v>
      </c>
      <c r="H826" s="16">
        <f>重复匹配率!H849</f>
        <v>0</v>
      </c>
      <c r="I826" s="17">
        <v>0</v>
      </c>
      <c r="J826" s="18">
        <f t="shared" si="41"/>
        <v>0</v>
      </c>
    </row>
    <row r="827" spans="1:10">
      <c r="A827" s="16">
        <f>重复匹配率!A850</f>
        <v>0</v>
      </c>
      <c r="B827" s="16">
        <f>重复匹配率!B850</f>
        <v>0</v>
      </c>
      <c r="C827" s="16">
        <f>重复匹配率!C850</f>
        <v>0</v>
      </c>
      <c r="D827" s="16">
        <f>重复匹配率!D850</f>
        <v>0</v>
      </c>
      <c r="E827" s="16">
        <f>重复匹配率!E850</f>
        <v>0</v>
      </c>
      <c r="F827" s="16">
        <f>重复匹配率!F850</f>
        <v>0</v>
      </c>
      <c r="G827" s="16">
        <f>重复匹配率!G850</f>
        <v>0</v>
      </c>
      <c r="H827" s="16">
        <f>重复匹配率!H850</f>
        <v>0</v>
      </c>
      <c r="I827" s="17">
        <v>0.2</v>
      </c>
      <c r="J827" s="18">
        <f t="shared" si="41"/>
        <v>0</v>
      </c>
    </row>
    <row r="828" spans="1:10">
      <c r="A828" s="16">
        <f>重复匹配率!A851</f>
        <v>0</v>
      </c>
      <c r="B828" s="16">
        <f>重复匹配率!B851</f>
        <v>0</v>
      </c>
      <c r="C828" s="16">
        <f>重复匹配率!C851</f>
        <v>0</v>
      </c>
      <c r="D828" s="16">
        <f>重复匹配率!D851</f>
        <v>0</v>
      </c>
      <c r="E828" s="16">
        <f>重复匹配率!E851</f>
        <v>0</v>
      </c>
      <c r="F828" s="16">
        <f>重复匹配率!F851</f>
        <v>0</v>
      </c>
      <c r="G828" s="16">
        <f>重复匹配率!G851</f>
        <v>0</v>
      </c>
      <c r="H828" s="16">
        <f>重复匹配率!H851</f>
        <v>0</v>
      </c>
      <c r="I828" s="17">
        <v>0.3</v>
      </c>
      <c r="J828" s="18">
        <f t="shared" si="41"/>
        <v>0</v>
      </c>
    </row>
    <row r="829" spans="1:10">
      <c r="A829" s="16">
        <f>重复匹配率!A852</f>
        <v>0</v>
      </c>
      <c r="B829" s="16">
        <f>重复匹配率!B852</f>
        <v>0</v>
      </c>
      <c r="C829" s="16">
        <f>重复匹配率!C852</f>
        <v>0</v>
      </c>
      <c r="D829" s="16">
        <f>重复匹配率!D852</f>
        <v>0</v>
      </c>
      <c r="E829" s="16">
        <f>重复匹配率!E852</f>
        <v>0</v>
      </c>
      <c r="F829" s="16">
        <f>重复匹配率!F852</f>
        <v>0</v>
      </c>
      <c r="G829" s="16">
        <f>重复匹配率!G852</f>
        <v>0</v>
      </c>
      <c r="H829" s="16">
        <f>重复匹配率!H852</f>
        <v>0</v>
      </c>
      <c r="I829" s="17">
        <v>0.5</v>
      </c>
      <c r="J829" s="18">
        <f t="shared" si="41"/>
        <v>0</v>
      </c>
    </row>
    <row r="830" spans="1:10">
      <c r="A830" s="16">
        <f>重复匹配率!A853</f>
        <v>0</v>
      </c>
      <c r="B830" s="16">
        <f>重复匹配率!B853</f>
        <v>0</v>
      </c>
      <c r="C830" s="16">
        <f>重复匹配率!C853</f>
        <v>0</v>
      </c>
      <c r="D830" s="16">
        <f>重复匹配率!D853</f>
        <v>0</v>
      </c>
      <c r="E830" s="16">
        <f>重复匹配率!E853</f>
        <v>0</v>
      </c>
      <c r="F830" s="16">
        <f>重复匹配率!F853</f>
        <v>0</v>
      </c>
      <c r="G830" s="16">
        <f>重复匹配率!G853</f>
        <v>0</v>
      </c>
      <c r="H830" s="16">
        <f>重复匹配率!H853</f>
        <v>0</v>
      </c>
      <c r="I830" s="17">
        <v>0.6</v>
      </c>
      <c r="J830" s="18">
        <f t="shared" si="41"/>
        <v>0</v>
      </c>
    </row>
    <row r="831" spans="1:10">
      <c r="A831" s="16">
        <f>重复匹配率!A854</f>
        <v>0</v>
      </c>
      <c r="B831" s="16">
        <f>重复匹配率!B854</f>
        <v>0</v>
      </c>
      <c r="C831" s="16">
        <f>重复匹配率!C854</f>
        <v>0</v>
      </c>
      <c r="D831" s="16">
        <f>重复匹配率!D854</f>
        <v>0</v>
      </c>
      <c r="E831" s="16">
        <f>重复匹配率!E854</f>
        <v>0</v>
      </c>
      <c r="F831" s="16">
        <f>重复匹配率!F854</f>
        <v>0</v>
      </c>
      <c r="G831" s="16">
        <f>重复匹配率!G854</f>
        <v>0</v>
      </c>
      <c r="H831" s="16">
        <f>重复匹配率!H854</f>
        <v>0</v>
      </c>
      <c r="I831" s="17">
        <v>1</v>
      </c>
      <c r="J831" s="18">
        <f t="shared" si="41"/>
        <v>0</v>
      </c>
    </row>
    <row r="832" spans="1:10">
      <c r="A832" s="16">
        <f>重复匹配率!A855</f>
        <v>0</v>
      </c>
      <c r="B832" s="16">
        <f>重复匹配率!B855</f>
        <v>0</v>
      </c>
      <c r="C832" s="16">
        <f>重复匹配率!C855</f>
        <v>0</v>
      </c>
      <c r="D832" s="16">
        <f>重复匹配率!D855</f>
        <v>0</v>
      </c>
      <c r="E832" s="16">
        <f>重复匹配率!E855</f>
        <v>0</v>
      </c>
      <c r="F832" s="16">
        <f>重复匹配率!F855</f>
        <v>0</v>
      </c>
      <c r="G832" s="16">
        <f>重复匹配率!G855</f>
        <v>0</v>
      </c>
      <c r="H832" s="16">
        <f>重复匹配率!H855</f>
        <v>0</v>
      </c>
      <c r="I832" s="17">
        <v>1</v>
      </c>
      <c r="J832" s="18">
        <f t="shared" si="41"/>
        <v>0</v>
      </c>
    </row>
    <row r="833" spans="1:10">
      <c r="A833" s="19" t="s">
        <v>34</v>
      </c>
      <c r="B833" s="20"/>
      <c r="C833" s="20"/>
      <c r="D833" s="20"/>
      <c r="E833" s="20"/>
      <c r="F833" s="20"/>
      <c r="G833" s="20"/>
      <c r="H833" s="20"/>
      <c r="I833" s="20"/>
      <c r="J833" s="18">
        <f>SUM(J823:J832)</f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H550"/>
  <sheetViews>
    <sheetView workbookViewId="0">
      <selection activeCell="A1" sqref="$A1:$XFD1048576"/>
    </sheetView>
  </sheetViews>
  <sheetFormatPr defaultColWidth="9" defaultRowHeight="13.5" outlineLevelCol="7"/>
  <cols>
    <col min="1" max="1" width="30.375" style="1"/>
    <col min="2" max="2" width="36" style="1"/>
    <col min="3" max="3" width="17" style="1"/>
    <col min="4" max="4" width="35.875" style="1"/>
    <col min="5" max="5" width="31.125" style="1"/>
    <col min="6" max="6" width="17" style="1"/>
    <col min="7" max="7" width="14.625" style="1"/>
    <col min="8" max="8" width="7" style="1"/>
    <col min="9" max="16384" width="9" style="1"/>
  </cols>
  <sheetData>
    <row r="1" s="1" customFormat="1" ht="22.5" spans="1:8">
      <c r="A1" s="2"/>
    </row>
    <row r="2" s="1" customFormat="1" ht="17.25" spans="1:8">
      <c r="A2" s="3"/>
      <c r="B2" s="4"/>
    </row>
    <row r="3" s="1" customFormat="1" ht="17.25" spans="1:8">
      <c r="A3" s="3"/>
      <c r="B3" s="4"/>
    </row>
    <row r="4" s="1" customFormat="1" ht="16.5" spans="1:8">
      <c r="A4" s="5"/>
    </row>
    <row r="5" s="1" customFormat="1" ht="18.75" spans="1:8">
      <c r="A5" s="6"/>
      <c r="B5" s="7"/>
      <c r="C5" s="7"/>
      <c r="D5" s="7"/>
      <c r="E5" s="7"/>
      <c r="F5" s="7"/>
      <c r="G5" s="7"/>
      <c r="H5" s="7"/>
    </row>
    <row r="6" s="1" customFormat="1" ht="18" spans="1:8">
      <c r="A6" s="8"/>
      <c r="B6" s="9"/>
      <c r="C6" s="9"/>
      <c r="D6" s="9"/>
      <c r="E6" s="9"/>
      <c r="F6" s="9"/>
      <c r="G6" s="9"/>
      <c r="H6" s="9"/>
    </row>
    <row r="7" s="1" customFormat="1" ht="18" spans="1:8">
      <c r="A7" s="8"/>
      <c r="B7" s="9"/>
      <c r="C7" s="9"/>
      <c r="D7" s="9"/>
      <c r="E7" s="9"/>
      <c r="F7" s="9"/>
      <c r="G7" s="9"/>
      <c r="H7" s="9"/>
    </row>
    <row r="8" s="1" customFormat="1" ht="18" spans="1:8">
      <c r="A8" s="8"/>
      <c r="B8" s="9"/>
      <c r="C8" s="9"/>
      <c r="D8" s="9"/>
      <c r="E8" s="9"/>
      <c r="F8" s="9"/>
      <c r="G8" s="9"/>
      <c r="H8" s="9"/>
    </row>
    <row r="9" s="1" customFormat="1" ht="18" spans="1:8">
      <c r="A9" s="10"/>
      <c r="B9" s="9"/>
      <c r="C9" s="9"/>
      <c r="D9" s="9"/>
      <c r="E9" s="9"/>
      <c r="F9" s="9"/>
      <c r="G9" s="9"/>
      <c r="H9" s="9"/>
    </row>
    <row r="10" s="1" customFormat="1" ht="18" spans="1:8">
      <c r="A10" s="10"/>
      <c r="B10" s="9"/>
      <c r="C10" s="9"/>
      <c r="D10" s="9"/>
      <c r="E10" s="9"/>
      <c r="F10" s="9"/>
      <c r="G10" s="9"/>
      <c r="H10" s="9"/>
    </row>
    <row r="11" s="1" customFormat="1" ht="18" spans="1:8">
      <c r="A11" s="8"/>
      <c r="B11" s="9"/>
      <c r="C11" s="9"/>
      <c r="D11" s="9"/>
      <c r="E11" s="9"/>
      <c r="F11" s="9"/>
      <c r="G11" s="9"/>
      <c r="H11" s="9"/>
    </row>
    <row r="12" s="1" customFormat="1" ht="18" spans="1:8">
      <c r="A12" s="8"/>
      <c r="B12" s="9"/>
      <c r="C12" s="9"/>
      <c r="D12" s="9"/>
      <c r="E12" s="9"/>
      <c r="F12" s="9"/>
      <c r="G12" s="9"/>
      <c r="H12" s="9"/>
    </row>
    <row r="13" s="1" customFormat="1" ht="18" spans="1:8">
      <c r="A13" s="8"/>
      <c r="B13" s="9"/>
      <c r="C13" s="9"/>
      <c r="D13" s="9"/>
      <c r="E13" s="9"/>
      <c r="F13" s="9"/>
      <c r="G13" s="9"/>
      <c r="H13" s="9"/>
    </row>
    <row r="14" s="1" customFormat="1" ht="18" spans="1:8">
      <c r="A14" s="8"/>
      <c r="B14" s="9"/>
      <c r="C14" s="9"/>
      <c r="D14" s="9"/>
      <c r="E14" s="9"/>
      <c r="F14" s="9"/>
      <c r="G14" s="9"/>
      <c r="H14" s="9"/>
    </row>
    <row r="15" s="1" customFormat="1" ht="17.25" spans="1:8">
      <c r="A15" s="8"/>
      <c r="B15" s="9"/>
      <c r="C15" s="9"/>
      <c r="D15" s="9"/>
      <c r="E15" s="9"/>
      <c r="F15" s="9"/>
      <c r="G15" s="9"/>
      <c r="H15" s="9"/>
    </row>
    <row r="16" s="1" customFormat="1" ht="16.5" spans="1:8">
      <c r="A16" s="5"/>
    </row>
    <row r="17" s="1" customFormat="1" ht="16.5" spans="1:8">
      <c r="A17" s="5"/>
    </row>
    <row r="18" s="1" customFormat="1" ht="16.5" spans="1:8">
      <c r="A18" s="11"/>
      <c r="B18" s="11"/>
      <c r="C18" s="11"/>
      <c r="D18" s="11"/>
      <c r="E18" s="11"/>
      <c r="F18" s="11"/>
      <c r="G18" s="11"/>
      <c r="H18" s="11"/>
    </row>
    <row r="19" s="1" customFormat="1" ht="16.5" spans="1:8">
      <c r="A19" s="5"/>
    </row>
    <row r="20" s="1" customFormat="1" ht="16.5" spans="1:8">
      <c r="A20" s="5"/>
    </row>
    <row r="21" s="1" customFormat="1" ht="22.5" spans="1:8">
      <c r="A21" s="2"/>
    </row>
    <row r="22" s="1" customFormat="1" ht="17.25" spans="1:8">
      <c r="A22" s="3"/>
      <c r="B22" s="4"/>
    </row>
    <row r="23" s="1" customFormat="1" ht="17.25" spans="1:8">
      <c r="A23" s="3"/>
      <c r="B23" s="4"/>
    </row>
    <row r="24" s="1" customFormat="1" ht="16.5" spans="1:8">
      <c r="A24" s="5"/>
    </row>
    <row r="25" s="1" customFormat="1" ht="18.75" spans="1:8">
      <c r="A25" s="6"/>
      <c r="B25" s="7"/>
      <c r="C25" s="7"/>
      <c r="D25" s="7"/>
      <c r="E25" s="7"/>
      <c r="F25" s="7"/>
      <c r="G25" s="7"/>
      <c r="H25" s="7"/>
    </row>
    <row r="26" s="1" customFormat="1" ht="18" spans="1:8">
      <c r="A26" s="8"/>
      <c r="B26" s="9"/>
      <c r="C26" s="9"/>
      <c r="D26" s="9"/>
      <c r="E26" s="9"/>
      <c r="F26" s="9"/>
      <c r="G26" s="9"/>
      <c r="H26" s="9"/>
    </row>
    <row r="27" s="1" customFormat="1" ht="18" spans="1:8">
      <c r="A27" s="8"/>
      <c r="B27" s="9"/>
      <c r="C27" s="9"/>
      <c r="D27" s="9"/>
      <c r="E27" s="9"/>
      <c r="F27" s="9"/>
      <c r="G27" s="9"/>
      <c r="H27" s="9"/>
    </row>
    <row r="28" s="1" customFormat="1" ht="18" spans="1:8">
      <c r="A28" s="8"/>
      <c r="B28" s="9"/>
      <c r="C28" s="9"/>
      <c r="D28" s="9"/>
      <c r="E28" s="9"/>
      <c r="F28" s="9"/>
      <c r="G28" s="9"/>
      <c r="H28" s="9"/>
    </row>
    <row r="29" s="1" customFormat="1" ht="18" spans="1:8">
      <c r="A29" s="10"/>
      <c r="B29" s="9"/>
      <c r="C29" s="9"/>
      <c r="D29" s="9"/>
      <c r="E29" s="9"/>
      <c r="F29" s="9"/>
      <c r="G29" s="9"/>
      <c r="H29" s="9"/>
    </row>
    <row r="30" s="1" customFormat="1" ht="18" spans="1:8">
      <c r="A30" s="10"/>
      <c r="B30" s="9"/>
      <c r="C30" s="9"/>
      <c r="D30" s="9"/>
      <c r="E30" s="9"/>
      <c r="F30" s="9"/>
      <c r="G30" s="9"/>
      <c r="H30" s="9"/>
    </row>
    <row r="31" s="1" customFormat="1" ht="18" spans="1:8">
      <c r="A31" s="8"/>
      <c r="B31" s="9"/>
      <c r="C31" s="9"/>
      <c r="D31" s="9"/>
      <c r="E31" s="9"/>
      <c r="F31" s="9"/>
      <c r="G31" s="9"/>
      <c r="H31" s="9"/>
    </row>
    <row r="32" s="1" customFormat="1" ht="18" spans="1:8">
      <c r="A32" s="8"/>
      <c r="B32" s="9"/>
      <c r="C32" s="9"/>
      <c r="D32" s="9"/>
      <c r="E32" s="9"/>
      <c r="F32" s="9"/>
      <c r="G32" s="9"/>
      <c r="H32" s="9"/>
    </row>
    <row r="33" s="1" customFormat="1" ht="18" spans="1:8">
      <c r="A33" s="8"/>
      <c r="B33" s="9"/>
      <c r="C33" s="9"/>
      <c r="D33" s="9"/>
      <c r="E33" s="9"/>
      <c r="F33" s="9"/>
      <c r="G33" s="9"/>
      <c r="H33" s="9"/>
    </row>
    <row r="34" s="1" customFormat="1" ht="18" spans="1:8">
      <c r="A34" s="8"/>
      <c r="B34" s="9"/>
      <c r="C34" s="9"/>
      <c r="D34" s="9"/>
      <c r="E34" s="9"/>
      <c r="F34" s="9"/>
      <c r="G34" s="9"/>
      <c r="H34" s="9"/>
    </row>
    <row r="35" s="1" customFormat="1" ht="17.25" spans="1:8">
      <c r="A35" s="8"/>
      <c r="B35" s="9"/>
      <c r="C35" s="9"/>
      <c r="D35" s="9"/>
      <c r="E35" s="9"/>
      <c r="F35" s="9"/>
      <c r="G35" s="9"/>
      <c r="H35" s="9"/>
    </row>
    <row r="36" s="1" customFormat="1" ht="16.5" spans="1:8">
      <c r="A36" s="5"/>
    </row>
    <row r="37" s="1" customFormat="1" ht="16.5" spans="1:8">
      <c r="A37" s="5"/>
    </row>
    <row r="38" s="1" customFormat="1" ht="16.5" spans="1:8">
      <c r="A38" s="11"/>
      <c r="B38" s="11"/>
      <c r="C38" s="11"/>
      <c r="D38" s="11"/>
      <c r="E38" s="11"/>
      <c r="F38" s="11"/>
      <c r="G38" s="11"/>
      <c r="H38" s="11"/>
    </row>
    <row r="39" s="1" customFormat="1" ht="16.5" spans="1:8">
      <c r="A39" s="5"/>
    </row>
    <row r="40" s="1" customFormat="1" ht="16.5" spans="1:8">
      <c r="A40" s="5"/>
    </row>
    <row r="41" s="1" customFormat="1" ht="22.5" spans="1:8">
      <c r="A41" s="2"/>
    </row>
    <row r="42" s="1" customFormat="1" ht="17.25" spans="1:8">
      <c r="A42" s="3"/>
      <c r="B42" s="4"/>
    </row>
    <row r="43" s="1" customFormat="1" ht="17.25" spans="1:8">
      <c r="A43" s="3"/>
      <c r="B43" s="4"/>
    </row>
    <row r="44" s="1" customFormat="1" ht="16.5" spans="1:8">
      <c r="A44" s="5"/>
    </row>
    <row r="45" s="1" customFormat="1" ht="18.75" spans="1:8">
      <c r="A45" s="6"/>
      <c r="B45" s="7"/>
      <c r="C45" s="7"/>
      <c r="D45" s="7"/>
      <c r="E45" s="7"/>
      <c r="F45" s="7"/>
      <c r="G45" s="7"/>
      <c r="H45" s="7"/>
    </row>
    <row r="46" s="1" customFormat="1" ht="18" spans="1:8">
      <c r="A46" s="8"/>
      <c r="B46" s="9"/>
      <c r="C46" s="9"/>
      <c r="D46" s="9"/>
      <c r="E46" s="9"/>
      <c r="F46" s="9"/>
      <c r="G46" s="9"/>
      <c r="H46" s="9"/>
    </row>
    <row r="47" s="1" customFormat="1" ht="18" spans="1:8">
      <c r="A47" s="8"/>
      <c r="B47" s="9"/>
      <c r="C47" s="9"/>
      <c r="D47" s="9"/>
      <c r="E47" s="9"/>
      <c r="F47" s="9"/>
      <c r="G47" s="9"/>
      <c r="H47" s="9"/>
    </row>
    <row r="48" s="1" customFormat="1" ht="18" spans="1:8">
      <c r="A48" s="8"/>
      <c r="B48" s="9"/>
      <c r="C48" s="9"/>
      <c r="D48" s="9"/>
      <c r="E48" s="9"/>
      <c r="F48" s="9"/>
      <c r="G48" s="9"/>
      <c r="H48" s="9"/>
    </row>
    <row r="49" s="1" customFormat="1" ht="18" spans="1:8">
      <c r="A49" s="10"/>
      <c r="B49" s="9"/>
      <c r="C49" s="9"/>
      <c r="D49" s="9"/>
      <c r="E49" s="9"/>
      <c r="F49" s="9"/>
      <c r="G49" s="9"/>
      <c r="H49" s="9"/>
    </row>
    <row r="50" s="1" customFormat="1" ht="18" spans="1:8">
      <c r="A50" s="10"/>
      <c r="B50" s="9"/>
      <c r="C50" s="9"/>
      <c r="D50" s="9"/>
      <c r="E50" s="9"/>
      <c r="F50" s="9"/>
      <c r="G50" s="9"/>
      <c r="H50" s="9"/>
    </row>
    <row r="51" s="1" customFormat="1" ht="18" spans="1:8">
      <c r="A51" s="8"/>
      <c r="B51" s="9"/>
      <c r="C51" s="9"/>
      <c r="D51" s="9"/>
      <c r="E51" s="9"/>
      <c r="F51" s="9"/>
      <c r="G51" s="9"/>
      <c r="H51" s="9"/>
    </row>
    <row r="52" s="1" customFormat="1" ht="18" spans="1:8">
      <c r="A52" s="8"/>
      <c r="B52" s="9"/>
      <c r="C52" s="9"/>
      <c r="D52" s="9"/>
      <c r="E52" s="9"/>
      <c r="F52" s="9"/>
      <c r="G52" s="9"/>
      <c r="H52" s="9"/>
    </row>
    <row r="53" s="1" customFormat="1" ht="18" spans="1:8">
      <c r="A53" s="8"/>
      <c r="B53" s="9"/>
      <c r="C53" s="9"/>
      <c r="D53" s="9"/>
      <c r="E53" s="9"/>
      <c r="F53" s="9"/>
      <c r="G53" s="9"/>
      <c r="H53" s="9"/>
    </row>
    <row r="54" s="1" customFormat="1" ht="18" spans="1:8">
      <c r="A54" s="8"/>
      <c r="B54" s="9"/>
      <c r="C54" s="9"/>
      <c r="D54" s="9"/>
      <c r="E54" s="9"/>
      <c r="F54" s="9"/>
      <c r="G54" s="9"/>
      <c r="H54" s="9"/>
    </row>
    <row r="55" s="1" customFormat="1" ht="17.25" spans="1:8">
      <c r="A55" s="8"/>
      <c r="B55" s="9"/>
      <c r="C55" s="9"/>
      <c r="D55" s="9"/>
      <c r="E55" s="9"/>
      <c r="F55" s="9"/>
      <c r="G55" s="9"/>
      <c r="H55" s="9"/>
    </row>
    <row r="56" s="1" customFormat="1" ht="16.5" spans="1:8">
      <c r="A56" s="5"/>
    </row>
    <row r="57" s="1" customFormat="1" ht="16.5" spans="1:8">
      <c r="A57" s="5"/>
    </row>
    <row r="58" s="1" customFormat="1" ht="16.5" spans="1:8">
      <c r="A58" s="11"/>
      <c r="B58" s="11"/>
      <c r="C58" s="11"/>
      <c r="D58" s="11"/>
      <c r="E58" s="11"/>
      <c r="F58" s="11"/>
      <c r="G58" s="11"/>
      <c r="H58" s="11"/>
    </row>
    <row r="59" s="1" customFormat="1" ht="16.5" spans="1:8">
      <c r="A59" s="5"/>
    </row>
    <row r="60" s="1" customFormat="1" ht="16.5" spans="1:8">
      <c r="A60" s="5"/>
    </row>
    <row r="61" s="1" customFormat="1" ht="22.5" spans="1:8">
      <c r="A61" s="2"/>
    </row>
    <row r="62" s="1" customFormat="1" ht="17.25" spans="1:8">
      <c r="A62" s="3"/>
      <c r="B62" s="4"/>
    </row>
    <row r="63" s="1" customFormat="1" ht="17.25" spans="1:8">
      <c r="A63" s="3"/>
      <c r="B63" s="4"/>
    </row>
    <row r="64" s="1" customFormat="1" ht="16.5" spans="1:8">
      <c r="A64" s="5"/>
    </row>
    <row r="65" s="1" customFormat="1" ht="18.75" spans="1:8">
      <c r="A65" s="6"/>
      <c r="B65" s="7"/>
      <c r="C65" s="7"/>
      <c r="D65" s="7"/>
      <c r="E65" s="7"/>
      <c r="F65" s="7"/>
      <c r="G65" s="7"/>
      <c r="H65" s="7"/>
    </row>
    <row r="66" s="1" customFormat="1" ht="18" spans="1:8">
      <c r="A66" s="8"/>
      <c r="B66" s="9"/>
      <c r="C66" s="9"/>
      <c r="D66" s="9"/>
      <c r="E66" s="9"/>
      <c r="F66" s="9"/>
      <c r="G66" s="9"/>
      <c r="H66" s="9"/>
    </row>
    <row r="67" s="1" customFormat="1" ht="18" spans="1:8">
      <c r="A67" s="8"/>
      <c r="B67" s="9"/>
      <c r="C67" s="9"/>
      <c r="D67" s="9"/>
      <c r="E67" s="9"/>
      <c r="F67" s="9"/>
      <c r="G67" s="9"/>
      <c r="H67" s="9"/>
    </row>
    <row r="68" s="1" customFormat="1" ht="18" spans="1:8">
      <c r="A68" s="8"/>
      <c r="B68" s="9"/>
      <c r="C68" s="9"/>
      <c r="D68" s="9"/>
      <c r="E68" s="9"/>
      <c r="F68" s="9"/>
      <c r="G68" s="9"/>
      <c r="H68" s="9"/>
    </row>
    <row r="69" s="1" customFormat="1" ht="18" spans="1:8">
      <c r="A69" s="10"/>
      <c r="B69" s="9"/>
      <c r="C69" s="9"/>
      <c r="D69" s="9"/>
      <c r="E69" s="9"/>
      <c r="F69" s="9"/>
      <c r="G69" s="9"/>
      <c r="H69" s="9"/>
    </row>
    <row r="70" s="1" customFormat="1" ht="18" spans="1:8">
      <c r="A70" s="10"/>
      <c r="B70" s="9"/>
      <c r="C70" s="9"/>
      <c r="D70" s="9"/>
      <c r="E70" s="9"/>
      <c r="F70" s="9"/>
      <c r="G70" s="9"/>
      <c r="H70" s="9"/>
    </row>
    <row r="71" s="1" customFormat="1" ht="18" spans="1:8">
      <c r="A71" s="8"/>
      <c r="B71" s="9"/>
      <c r="C71" s="9"/>
      <c r="D71" s="9"/>
      <c r="E71" s="9"/>
      <c r="F71" s="9"/>
      <c r="G71" s="9"/>
      <c r="H71" s="9"/>
    </row>
    <row r="72" s="1" customFormat="1" ht="18" spans="1:8">
      <c r="A72" s="8"/>
      <c r="B72" s="9"/>
      <c r="C72" s="9"/>
      <c r="D72" s="9"/>
      <c r="E72" s="9"/>
      <c r="F72" s="9"/>
      <c r="G72" s="9"/>
      <c r="H72" s="9"/>
    </row>
    <row r="73" s="1" customFormat="1" ht="18" spans="1:8">
      <c r="A73" s="8"/>
      <c r="B73" s="9"/>
      <c r="C73" s="9"/>
      <c r="D73" s="9"/>
      <c r="E73" s="9"/>
      <c r="F73" s="9"/>
      <c r="G73" s="9"/>
      <c r="H73" s="9"/>
    </row>
    <row r="74" s="1" customFormat="1" ht="18" spans="1:8">
      <c r="A74" s="8"/>
      <c r="B74" s="9"/>
      <c r="C74" s="9"/>
      <c r="D74" s="9"/>
      <c r="E74" s="9"/>
      <c r="F74" s="9"/>
      <c r="G74" s="9"/>
      <c r="H74" s="9"/>
    </row>
    <row r="75" s="1" customFormat="1" ht="17.25" spans="1:8">
      <c r="A75" s="8"/>
      <c r="B75" s="9"/>
      <c r="C75" s="9"/>
      <c r="D75" s="9"/>
      <c r="E75" s="9"/>
      <c r="F75" s="9"/>
      <c r="G75" s="9"/>
      <c r="H75" s="9"/>
    </row>
    <row r="76" s="1" customFormat="1" ht="16.5" spans="1:8">
      <c r="A76" s="5"/>
    </row>
    <row r="77" s="1" customFormat="1" ht="16.5" spans="1:8">
      <c r="A77" s="5"/>
    </row>
    <row r="78" s="1" customFormat="1" ht="16.5" spans="1:8">
      <c r="A78" s="11"/>
      <c r="B78" s="11"/>
      <c r="C78" s="11"/>
      <c r="D78" s="11"/>
      <c r="E78" s="11"/>
      <c r="F78" s="11"/>
      <c r="G78" s="11"/>
      <c r="H78" s="11"/>
    </row>
    <row r="79" s="1" customFormat="1" ht="16.5" spans="1:8">
      <c r="A79" s="5"/>
    </row>
    <row r="80" s="1" customFormat="1" ht="16.5" spans="1:8">
      <c r="A80" s="5"/>
    </row>
    <row r="81" s="1" customFormat="1" ht="22.5" spans="1:8">
      <c r="A81" s="2"/>
    </row>
    <row r="82" s="1" customFormat="1" ht="17.25" spans="1:8">
      <c r="A82" s="3"/>
      <c r="B82" s="4"/>
    </row>
    <row r="83" s="1" customFormat="1" ht="17.25" spans="1:8">
      <c r="A83" s="3"/>
      <c r="B83" s="4"/>
    </row>
    <row r="84" s="1" customFormat="1" ht="16.5" spans="1:8">
      <c r="A84" s="5"/>
    </row>
    <row r="85" s="1" customFormat="1" ht="18.75" spans="1:8">
      <c r="A85" s="6"/>
      <c r="B85" s="7"/>
      <c r="C85" s="7"/>
      <c r="D85" s="7"/>
      <c r="E85" s="7"/>
      <c r="F85" s="7"/>
      <c r="G85" s="7"/>
      <c r="H85" s="7"/>
    </row>
    <row r="86" s="1" customFormat="1" ht="18" spans="1:8">
      <c r="A86" s="8"/>
      <c r="B86" s="9"/>
      <c r="C86" s="9"/>
      <c r="D86" s="9"/>
      <c r="E86" s="9"/>
      <c r="F86" s="9"/>
      <c r="G86" s="9"/>
      <c r="H86" s="9"/>
    </row>
    <row r="87" s="1" customFormat="1" ht="18" spans="1:8">
      <c r="A87" s="8"/>
      <c r="B87" s="9"/>
      <c r="C87" s="9"/>
      <c r="D87" s="9"/>
      <c r="E87" s="9"/>
      <c r="F87" s="9"/>
      <c r="G87" s="9"/>
      <c r="H87" s="9"/>
    </row>
    <row r="88" s="1" customFormat="1" ht="18" spans="1:8">
      <c r="A88" s="8"/>
      <c r="B88" s="9"/>
      <c r="C88" s="9"/>
      <c r="D88" s="9"/>
      <c r="E88" s="9"/>
      <c r="F88" s="9"/>
      <c r="G88" s="9"/>
      <c r="H88" s="9"/>
    </row>
    <row r="89" s="1" customFormat="1" ht="18" spans="1:8">
      <c r="A89" s="10"/>
      <c r="B89" s="9"/>
      <c r="C89" s="9"/>
      <c r="D89" s="9"/>
      <c r="E89" s="9"/>
      <c r="F89" s="9"/>
      <c r="G89" s="9"/>
      <c r="H89" s="9"/>
    </row>
    <row r="90" s="1" customFormat="1" ht="18" spans="1:8">
      <c r="A90" s="10"/>
      <c r="B90" s="9"/>
      <c r="C90" s="9"/>
      <c r="D90" s="9"/>
      <c r="E90" s="9"/>
      <c r="F90" s="9"/>
      <c r="G90" s="9"/>
      <c r="H90" s="9"/>
    </row>
    <row r="91" s="1" customFormat="1" ht="18" spans="1:8">
      <c r="A91" s="8"/>
      <c r="B91" s="9"/>
      <c r="C91" s="9"/>
      <c r="D91" s="9"/>
      <c r="E91" s="9"/>
      <c r="F91" s="9"/>
      <c r="G91" s="9"/>
      <c r="H91" s="9"/>
    </row>
    <row r="92" s="1" customFormat="1" ht="18" spans="1:8">
      <c r="A92" s="8"/>
      <c r="B92" s="9"/>
      <c r="C92" s="9"/>
      <c r="D92" s="9"/>
      <c r="E92" s="9"/>
      <c r="F92" s="9"/>
      <c r="G92" s="9"/>
      <c r="H92" s="9"/>
    </row>
    <row r="93" s="1" customFormat="1" ht="18" spans="1:8">
      <c r="A93" s="8"/>
      <c r="B93" s="9"/>
      <c r="C93" s="9"/>
      <c r="D93" s="9"/>
      <c r="E93" s="9"/>
      <c r="F93" s="9"/>
      <c r="G93" s="9"/>
      <c r="H93" s="9"/>
    </row>
    <row r="94" s="1" customFormat="1" ht="18" spans="1:8">
      <c r="A94" s="8"/>
      <c r="B94" s="9"/>
      <c r="C94" s="9"/>
      <c r="D94" s="9"/>
      <c r="E94" s="9"/>
      <c r="F94" s="9"/>
      <c r="G94" s="9"/>
      <c r="H94" s="9"/>
    </row>
    <row r="95" s="1" customFormat="1" ht="17.25" spans="1:8">
      <c r="A95" s="8"/>
      <c r="B95" s="9"/>
      <c r="C95" s="9"/>
      <c r="D95" s="9"/>
      <c r="E95" s="9"/>
      <c r="F95" s="9"/>
      <c r="G95" s="9"/>
      <c r="H95" s="9"/>
    </row>
    <row r="96" s="1" customFormat="1" ht="16.5" spans="1:8">
      <c r="A96" s="5"/>
    </row>
    <row r="97" s="1" customFormat="1" ht="16.5" spans="1:8">
      <c r="A97" s="5"/>
    </row>
    <row r="98" s="1" customFormat="1" ht="16.5" spans="1:8">
      <c r="A98" s="11"/>
      <c r="B98" s="11"/>
      <c r="C98" s="11"/>
      <c r="D98" s="11"/>
      <c r="E98" s="11"/>
      <c r="F98" s="11"/>
      <c r="G98" s="11"/>
      <c r="H98" s="11"/>
    </row>
    <row r="99" s="1" customFormat="1" ht="16.5" spans="1:8">
      <c r="A99" s="5"/>
    </row>
    <row r="100" s="1" customFormat="1" ht="16.5" spans="1:8">
      <c r="A100" s="5"/>
    </row>
    <row r="101" s="1" customFormat="1" ht="22.5" spans="1:8">
      <c r="A101" s="2"/>
    </row>
    <row r="102" s="1" customFormat="1" ht="17.25" spans="1:8">
      <c r="A102" s="3"/>
      <c r="B102" s="4"/>
    </row>
    <row r="103" s="1" customFormat="1" ht="17.25" spans="1:8">
      <c r="A103" s="3"/>
      <c r="B103" s="4"/>
    </row>
    <row r="104" s="1" customFormat="1" ht="16.5" spans="1:8">
      <c r="A104" s="5"/>
    </row>
    <row r="105" s="1" customFormat="1" ht="18.75" spans="1:8">
      <c r="A105" s="6"/>
      <c r="B105" s="7"/>
      <c r="C105" s="7"/>
      <c r="D105" s="7"/>
      <c r="E105" s="7"/>
      <c r="F105" s="7"/>
      <c r="G105" s="7"/>
      <c r="H105" s="7"/>
    </row>
    <row r="106" s="1" customFormat="1" ht="18" spans="1:8">
      <c r="A106" s="8"/>
      <c r="B106" s="9"/>
      <c r="C106" s="9"/>
      <c r="D106" s="9"/>
      <c r="E106" s="9"/>
      <c r="F106" s="9"/>
      <c r="G106" s="9"/>
      <c r="H106" s="9"/>
    </row>
    <row r="107" s="1" customFormat="1" ht="18" spans="1:8">
      <c r="A107" s="8"/>
      <c r="B107" s="9"/>
      <c r="C107" s="9"/>
      <c r="D107" s="9"/>
      <c r="E107" s="9"/>
      <c r="F107" s="9"/>
      <c r="G107" s="9"/>
      <c r="H107" s="9"/>
    </row>
    <row r="108" s="1" customFormat="1" ht="18" spans="1:8">
      <c r="A108" s="8"/>
      <c r="B108" s="9"/>
      <c r="C108" s="9"/>
      <c r="D108" s="9"/>
      <c r="E108" s="9"/>
      <c r="F108" s="9"/>
      <c r="G108" s="9"/>
      <c r="H108" s="9"/>
    </row>
    <row r="109" s="1" customFormat="1" ht="18" spans="1:8">
      <c r="A109" s="10"/>
      <c r="B109" s="9"/>
      <c r="C109" s="9"/>
      <c r="D109" s="9"/>
      <c r="E109" s="9"/>
      <c r="F109" s="9"/>
      <c r="G109" s="9"/>
      <c r="H109" s="9"/>
    </row>
    <row r="110" s="1" customFormat="1" ht="18" spans="1:8">
      <c r="A110" s="10"/>
      <c r="B110" s="9"/>
      <c r="C110" s="9"/>
      <c r="D110" s="9"/>
      <c r="E110" s="9"/>
      <c r="F110" s="9"/>
      <c r="G110" s="9"/>
      <c r="H110" s="9"/>
    </row>
    <row r="111" s="1" customFormat="1" ht="18" spans="1:8">
      <c r="A111" s="8"/>
      <c r="B111" s="9"/>
      <c r="C111" s="9"/>
      <c r="D111" s="9"/>
      <c r="E111" s="9"/>
      <c r="F111" s="9"/>
      <c r="G111" s="9"/>
      <c r="H111" s="9"/>
    </row>
    <row r="112" s="1" customFormat="1" ht="18" spans="1:8">
      <c r="A112" s="8"/>
      <c r="B112" s="9"/>
      <c r="C112" s="9"/>
      <c r="D112" s="9"/>
      <c r="E112" s="9"/>
      <c r="F112" s="9"/>
      <c r="G112" s="9"/>
      <c r="H112" s="9"/>
    </row>
    <row r="113" s="1" customFormat="1" ht="18" spans="1:8">
      <c r="A113" s="8"/>
      <c r="B113" s="9"/>
      <c r="C113" s="9"/>
      <c r="D113" s="9"/>
      <c r="E113" s="9"/>
      <c r="F113" s="9"/>
      <c r="G113" s="9"/>
      <c r="H113" s="9"/>
    </row>
    <row r="114" s="1" customFormat="1" ht="18" spans="1:8">
      <c r="A114" s="8"/>
      <c r="B114" s="9"/>
      <c r="C114" s="9"/>
      <c r="D114" s="9"/>
      <c r="E114" s="9"/>
      <c r="F114" s="9"/>
      <c r="G114" s="9"/>
      <c r="H114" s="9"/>
    </row>
    <row r="115" s="1" customFormat="1" ht="17.25" spans="1:8">
      <c r="A115" s="8"/>
      <c r="B115" s="9"/>
      <c r="C115" s="9"/>
      <c r="D115" s="9"/>
      <c r="E115" s="9"/>
      <c r="F115" s="9"/>
      <c r="G115" s="9"/>
      <c r="H115" s="9"/>
    </row>
    <row r="116" s="1" customFormat="1" ht="16.5" spans="1:8">
      <c r="A116" s="5"/>
    </row>
    <row r="117" s="1" customFormat="1" ht="16.5" spans="1:8">
      <c r="A117" s="5"/>
    </row>
    <row r="118" s="1" customFormat="1" ht="16.5" spans="1:8">
      <c r="A118" s="11"/>
      <c r="B118" s="11"/>
      <c r="C118" s="11"/>
      <c r="D118" s="11"/>
      <c r="E118" s="11"/>
      <c r="F118" s="11"/>
      <c r="G118" s="11"/>
      <c r="H118" s="11"/>
    </row>
    <row r="119" s="1" customFormat="1" ht="16.5" spans="1:8">
      <c r="A119" s="5"/>
    </row>
    <row r="120" s="1" customFormat="1" ht="16.5" spans="1:8">
      <c r="A120" s="5"/>
    </row>
    <row r="121" s="1" customFormat="1" ht="22.5" spans="1:8">
      <c r="A121" s="2"/>
    </row>
    <row r="122" s="1" customFormat="1" ht="17.25" spans="1:8">
      <c r="A122" s="3"/>
      <c r="B122" s="4"/>
    </row>
    <row r="123" s="1" customFormat="1" ht="17.25" spans="1:8">
      <c r="A123" s="3"/>
      <c r="B123" s="4"/>
    </row>
    <row r="124" s="1" customFormat="1" ht="16.5" spans="1:8">
      <c r="A124" s="5"/>
    </row>
    <row r="125" s="1" customFormat="1" ht="18.75" spans="1:8">
      <c r="A125" s="6"/>
      <c r="B125" s="7"/>
      <c r="C125" s="7"/>
      <c r="D125" s="7"/>
      <c r="E125" s="7"/>
      <c r="F125" s="7"/>
      <c r="G125" s="7"/>
      <c r="H125" s="7"/>
    </row>
    <row r="126" s="1" customFormat="1" ht="18" spans="1:8">
      <c r="A126" s="8"/>
      <c r="B126" s="9"/>
      <c r="C126" s="9"/>
      <c r="D126" s="9"/>
      <c r="E126" s="9"/>
      <c r="F126" s="9"/>
      <c r="G126" s="9"/>
      <c r="H126" s="9"/>
    </row>
    <row r="127" s="1" customFormat="1" ht="18" spans="1:8">
      <c r="A127" s="8"/>
      <c r="B127" s="9"/>
      <c r="C127" s="9"/>
      <c r="D127" s="9"/>
      <c r="E127" s="9"/>
      <c r="F127" s="9"/>
      <c r="G127" s="9"/>
      <c r="H127" s="9"/>
    </row>
    <row r="128" s="1" customFormat="1" ht="18" spans="1:8">
      <c r="A128" s="8"/>
      <c r="B128" s="9"/>
      <c r="C128" s="9"/>
      <c r="D128" s="9"/>
      <c r="E128" s="9"/>
      <c r="F128" s="9"/>
      <c r="G128" s="9"/>
      <c r="H128" s="9"/>
    </row>
    <row r="129" s="1" customFormat="1" ht="18" spans="1:8">
      <c r="A129" s="10"/>
      <c r="B129" s="9"/>
      <c r="C129" s="9"/>
      <c r="D129" s="9"/>
      <c r="E129" s="9"/>
      <c r="F129" s="9"/>
      <c r="G129" s="9"/>
      <c r="H129" s="9"/>
    </row>
    <row r="130" s="1" customFormat="1" ht="18" spans="1:8">
      <c r="A130" s="10"/>
      <c r="B130" s="9"/>
      <c r="C130" s="9"/>
      <c r="D130" s="9"/>
      <c r="E130" s="9"/>
      <c r="F130" s="9"/>
      <c r="G130" s="9"/>
      <c r="H130" s="9"/>
    </row>
    <row r="131" s="1" customFormat="1" ht="18" spans="1:8">
      <c r="A131" s="8"/>
      <c r="B131" s="9"/>
      <c r="C131" s="9"/>
      <c r="D131" s="9"/>
      <c r="E131" s="9"/>
      <c r="F131" s="9"/>
      <c r="G131" s="9"/>
      <c r="H131" s="9"/>
    </row>
    <row r="132" s="1" customFormat="1" ht="18" spans="1:8">
      <c r="A132" s="8"/>
      <c r="B132" s="9"/>
      <c r="C132" s="9"/>
      <c r="D132" s="9"/>
      <c r="E132" s="9"/>
      <c r="F132" s="9"/>
      <c r="G132" s="9"/>
      <c r="H132" s="9"/>
    </row>
    <row r="133" s="1" customFormat="1" ht="18" spans="1:8">
      <c r="A133" s="8"/>
      <c r="B133" s="9"/>
      <c r="C133" s="9"/>
      <c r="D133" s="9"/>
      <c r="E133" s="9"/>
      <c r="F133" s="9"/>
      <c r="G133" s="9"/>
      <c r="H133" s="9"/>
    </row>
    <row r="134" s="1" customFormat="1" ht="18" spans="1:8">
      <c r="A134" s="8"/>
      <c r="B134" s="9"/>
      <c r="C134" s="9"/>
      <c r="D134" s="9"/>
      <c r="E134" s="9"/>
      <c r="F134" s="9"/>
      <c r="G134" s="9"/>
      <c r="H134" s="9"/>
    </row>
    <row r="135" s="1" customFormat="1" ht="17.25" spans="1:8">
      <c r="A135" s="8"/>
      <c r="B135" s="9"/>
      <c r="C135" s="9"/>
      <c r="D135" s="9"/>
      <c r="E135" s="9"/>
      <c r="F135" s="9"/>
      <c r="G135" s="9"/>
      <c r="H135" s="9"/>
    </row>
    <row r="136" s="1" customFormat="1" ht="16.5" spans="1:8">
      <c r="A136" s="5"/>
    </row>
    <row r="137" s="1" customFormat="1" ht="16.5" spans="1:8">
      <c r="A137" s="5"/>
    </row>
    <row r="138" s="1" customFormat="1" ht="16.5" spans="1:8">
      <c r="A138" s="11"/>
      <c r="B138" s="11"/>
      <c r="C138" s="11"/>
      <c r="D138" s="11"/>
      <c r="E138" s="11"/>
      <c r="F138" s="11"/>
      <c r="G138" s="11"/>
      <c r="H138" s="11"/>
    </row>
    <row r="139" s="1" customFormat="1" ht="16.5" spans="1:8">
      <c r="A139" s="5"/>
    </row>
    <row r="140" s="1" customFormat="1" ht="16.5" spans="1:8">
      <c r="A140" s="5"/>
    </row>
    <row r="141" s="1" customFormat="1" ht="22.5" spans="1:8">
      <c r="A141" s="2"/>
    </row>
    <row r="142" s="1" customFormat="1" ht="17.25" spans="1:8">
      <c r="A142" s="3"/>
      <c r="B142" s="4"/>
    </row>
    <row r="143" s="1" customFormat="1" ht="17.25" spans="1:8">
      <c r="A143" s="3"/>
      <c r="B143" s="4"/>
    </row>
    <row r="144" s="1" customFormat="1" ht="16.5" spans="1:8">
      <c r="A144" s="5"/>
    </row>
    <row r="145" s="1" customFormat="1" ht="18.75" spans="1:8">
      <c r="A145" s="6"/>
      <c r="B145" s="7"/>
      <c r="C145" s="7"/>
      <c r="D145" s="7"/>
      <c r="E145" s="7"/>
      <c r="F145" s="7"/>
      <c r="G145" s="7"/>
      <c r="H145" s="7"/>
    </row>
    <row r="146" s="1" customFormat="1" ht="18" spans="1:8">
      <c r="A146" s="8"/>
      <c r="B146" s="9"/>
      <c r="C146" s="9"/>
      <c r="D146" s="9"/>
      <c r="E146" s="9"/>
      <c r="F146" s="9"/>
      <c r="G146" s="9"/>
      <c r="H146" s="9"/>
    </row>
    <row r="147" s="1" customFormat="1" ht="18" spans="1:8">
      <c r="A147" s="8"/>
      <c r="B147" s="9"/>
      <c r="C147" s="9"/>
      <c r="D147" s="9"/>
      <c r="E147" s="9"/>
      <c r="F147" s="9"/>
      <c r="G147" s="9"/>
      <c r="H147" s="9"/>
    </row>
    <row r="148" s="1" customFormat="1" ht="18" spans="1:8">
      <c r="A148" s="8"/>
      <c r="B148" s="9"/>
      <c r="C148" s="9"/>
      <c r="D148" s="9"/>
      <c r="E148" s="9"/>
      <c r="F148" s="9"/>
      <c r="G148" s="9"/>
      <c r="H148" s="9"/>
    </row>
    <row r="149" s="1" customFormat="1" ht="18" spans="1:8">
      <c r="A149" s="10"/>
      <c r="B149" s="9"/>
      <c r="C149" s="9"/>
      <c r="D149" s="9"/>
      <c r="E149" s="9"/>
      <c r="F149" s="9"/>
      <c r="G149" s="9"/>
      <c r="H149" s="9"/>
    </row>
    <row r="150" s="1" customFormat="1" ht="18" spans="1:8">
      <c r="A150" s="10"/>
      <c r="B150" s="9"/>
      <c r="C150" s="9"/>
      <c r="D150" s="9"/>
      <c r="E150" s="9"/>
      <c r="F150" s="9"/>
      <c r="G150" s="9"/>
      <c r="H150" s="9"/>
    </row>
    <row r="151" s="1" customFormat="1" ht="18" spans="1:8">
      <c r="A151" s="8"/>
      <c r="B151" s="9"/>
      <c r="C151" s="9"/>
      <c r="D151" s="9"/>
      <c r="E151" s="9"/>
      <c r="F151" s="9"/>
      <c r="G151" s="9"/>
      <c r="H151" s="9"/>
    </row>
    <row r="152" s="1" customFormat="1" ht="18" spans="1:8">
      <c r="A152" s="8"/>
      <c r="B152" s="9"/>
      <c r="C152" s="9"/>
      <c r="D152" s="9"/>
      <c r="E152" s="9"/>
      <c r="F152" s="9"/>
      <c r="G152" s="9"/>
      <c r="H152" s="9"/>
    </row>
    <row r="153" s="1" customFormat="1" ht="18" spans="1:8">
      <c r="A153" s="8"/>
      <c r="B153" s="9"/>
      <c r="C153" s="9"/>
      <c r="D153" s="9"/>
      <c r="E153" s="9"/>
      <c r="F153" s="9"/>
      <c r="G153" s="9"/>
      <c r="H153" s="9"/>
    </row>
    <row r="154" s="1" customFormat="1" ht="18" spans="1:8">
      <c r="A154" s="8"/>
      <c r="B154" s="9"/>
      <c r="C154" s="9"/>
      <c r="D154" s="9"/>
      <c r="E154" s="9"/>
      <c r="F154" s="9"/>
      <c r="G154" s="9"/>
      <c r="H154" s="9"/>
    </row>
    <row r="155" s="1" customFormat="1" ht="17.25" spans="1:8">
      <c r="A155" s="8"/>
      <c r="B155" s="9"/>
      <c r="C155" s="9"/>
      <c r="D155" s="9"/>
      <c r="E155" s="9"/>
      <c r="F155" s="9"/>
      <c r="G155" s="9"/>
      <c r="H155" s="9"/>
    </row>
    <row r="156" s="1" customFormat="1" ht="16.5" spans="1:8">
      <c r="A156" s="5"/>
    </row>
    <row r="157" s="1" customFormat="1" ht="16.5" spans="1:8">
      <c r="A157" s="5"/>
    </row>
    <row r="158" s="1" customFormat="1" ht="16.5" spans="1:8">
      <c r="A158" s="11"/>
      <c r="B158" s="11"/>
      <c r="C158" s="11"/>
      <c r="D158" s="11"/>
      <c r="E158" s="11"/>
      <c r="F158" s="11"/>
      <c r="G158" s="11"/>
      <c r="H158" s="11"/>
    </row>
    <row r="159" s="1" customFormat="1" ht="16.5" spans="1:8">
      <c r="A159" s="5"/>
    </row>
    <row r="160" s="1" customFormat="1" ht="16.5" spans="1:8">
      <c r="A160" s="5"/>
    </row>
    <row r="161" s="1" customFormat="1" ht="22.5" spans="1:8">
      <c r="A161" s="2"/>
    </row>
    <row r="162" s="1" customFormat="1" ht="17.25" spans="1:8">
      <c r="A162" s="3"/>
      <c r="B162" s="4"/>
    </row>
    <row r="163" s="1" customFormat="1" ht="17.25" spans="1:8">
      <c r="A163" s="3"/>
      <c r="B163" s="4"/>
    </row>
    <row r="164" s="1" customFormat="1" ht="16.5" spans="1:8">
      <c r="A164" s="5"/>
    </row>
    <row r="165" s="1" customFormat="1" ht="18.75" spans="1:8">
      <c r="A165" s="6"/>
      <c r="B165" s="7"/>
      <c r="C165" s="7"/>
      <c r="D165" s="7"/>
      <c r="E165" s="7"/>
      <c r="F165" s="7"/>
      <c r="G165" s="7"/>
      <c r="H165" s="7"/>
    </row>
    <row r="166" s="1" customFormat="1" ht="18" spans="1:8">
      <c r="A166" s="8"/>
      <c r="B166" s="9"/>
      <c r="C166" s="9"/>
      <c r="D166" s="9"/>
      <c r="E166" s="9"/>
      <c r="F166" s="9"/>
      <c r="G166" s="9"/>
      <c r="H166" s="9"/>
    </row>
    <row r="167" s="1" customFormat="1" ht="18" spans="1:8">
      <c r="A167" s="8"/>
      <c r="B167" s="9"/>
      <c r="C167" s="9"/>
      <c r="D167" s="9"/>
      <c r="E167" s="9"/>
      <c r="F167" s="9"/>
      <c r="G167" s="9"/>
      <c r="H167" s="9"/>
    </row>
    <row r="168" s="1" customFormat="1" ht="18" spans="1:8">
      <c r="A168" s="8"/>
      <c r="B168" s="9"/>
      <c r="C168" s="9"/>
      <c r="D168" s="9"/>
      <c r="E168" s="9"/>
      <c r="F168" s="9"/>
      <c r="G168" s="9"/>
      <c r="H168" s="9"/>
    </row>
    <row r="169" s="1" customFormat="1" ht="18" spans="1:8">
      <c r="A169" s="10"/>
      <c r="B169" s="9"/>
      <c r="C169" s="9"/>
      <c r="D169" s="9"/>
      <c r="E169" s="9"/>
      <c r="F169" s="9"/>
      <c r="G169" s="9"/>
      <c r="H169" s="9"/>
    </row>
    <row r="170" s="1" customFormat="1" ht="18" spans="1:8">
      <c r="A170" s="10"/>
      <c r="B170" s="9"/>
      <c r="C170" s="9"/>
      <c r="D170" s="9"/>
      <c r="E170" s="9"/>
      <c r="F170" s="9"/>
      <c r="G170" s="9"/>
      <c r="H170" s="9"/>
    </row>
    <row r="171" s="1" customFormat="1" ht="18" spans="1:8">
      <c r="A171" s="8"/>
      <c r="B171" s="9"/>
      <c r="C171" s="9"/>
      <c r="D171" s="9"/>
      <c r="E171" s="9"/>
      <c r="F171" s="9"/>
      <c r="G171" s="9"/>
      <c r="H171" s="9"/>
    </row>
    <row r="172" s="1" customFormat="1" ht="18" spans="1:8">
      <c r="A172" s="8"/>
      <c r="B172" s="9"/>
      <c r="C172" s="9"/>
      <c r="D172" s="9"/>
      <c r="E172" s="9"/>
      <c r="F172" s="9"/>
      <c r="G172" s="9"/>
      <c r="H172" s="9"/>
    </row>
    <row r="173" s="1" customFormat="1" ht="18" spans="1:8">
      <c r="A173" s="8"/>
      <c r="B173" s="9"/>
      <c r="C173" s="9"/>
      <c r="D173" s="9"/>
      <c r="E173" s="9"/>
      <c r="F173" s="9"/>
      <c r="G173" s="9"/>
      <c r="H173" s="9"/>
    </row>
    <row r="174" s="1" customFormat="1" ht="18" spans="1:8">
      <c r="A174" s="8"/>
      <c r="B174" s="9"/>
      <c r="C174" s="9"/>
      <c r="D174" s="9"/>
      <c r="E174" s="9"/>
      <c r="F174" s="9"/>
      <c r="G174" s="9"/>
      <c r="H174" s="9"/>
    </row>
    <row r="175" s="1" customFormat="1" ht="17.25" spans="1:8">
      <c r="A175" s="8"/>
      <c r="B175" s="9"/>
      <c r="C175" s="9"/>
      <c r="D175" s="9"/>
      <c r="E175" s="9"/>
      <c r="F175" s="9"/>
      <c r="G175" s="9"/>
      <c r="H175" s="9"/>
    </row>
    <row r="176" s="1" customFormat="1" ht="16.5" spans="1:8">
      <c r="A176" s="5"/>
    </row>
    <row r="177" s="1" customFormat="1" ht="16.5" spans="1:8">
      <c r="A177" s="5"/>
    </row>
    <row r="178" s="1" customFormat="1" ht="16.5" spans="1:8">
      <c r="A178" s="11"/>
      <c r="B178" s="11"/>
      <c r="C178" s="11"/>
      <c r="D178" s="11"/>
      <c r="E178" s="11"/>
      <c r="F178" s="11"/>
      <c r="G178" s="11"/>
      <c r="H178" s="11"/>
    </row>
    <row r="179" s="1" customFormat="1" ht="16.5" spans="1:8">
      <c r="A179" s="5"/>
    </row>
    <row r="180" s="1" customFormat="1" ht="16.5" spans="1:8">
      <c r="A180" s="5"/>
    </row>
    <row r="181" s="1" customFormat="1" ht="22.5" spans="1:8">
      <c r="A181" s="2"/>
    </row>
    <row r="182" s="1" customFormat="1" ht="17.25" spans="1:8">
      <c r="A182" s="3"/>
      <c r="B182" s="4"/>
    </row>
    <row r="183" s="1" customFormat="1" ht="17.25" spans="1:8">
      <c r="A183" s="3"/>
      <c r="B183" s="4"/>
    </row>
    <row r="184" s="1" customFormat="1" ht="16.5" spans="1:8">
      <c r="A184" s="5"/>
    </row>
    <row r="185" s="1" customFormat="1" ht="18.75" spans="1:8">
      <c r="A185" s="6"/>
      <c r="B185" s="7"/>
      <c r="C185" s="7"/>
      <c r="D185" s="7"/>
      <c r="E185" s="7"/>
      <c r="F185" s="7"/>
      <c r="G185" s="7"/>
      <c r="H185" s="7"/>
    </row>
    <row r="186" s="1" customFormat="1" ht="18" spans="1:8">
      <c r="A186" s="8"/>
      <c r="B186" s="9"/>
      <c r="C186" s="9"/>
      <c r="D186" s="9"/>
      <c r="E186" s="9"/>
      <c r="F186" s="9"/>
      <c r="G186" s="9"/>
      <c r="H186" s="9"/>
    </row>
    <row r="187" s="1" customFormat="1" ht="18" spans="1:8">
      <c r="A187" s="8"/>
      <c r="B187" s="9"/>
      <c r="C187" s="9"/>
      <c r="D187" s="9"/>
      <c r="E187" s="9"/>
      <c r="F187" s="9"/>
      <c r="G187" s="9"/>
      <c r="H187" s="9"/>
    </row>
    <row r="188" s="1" customFormat="1" ht="18" spans="1:8">
      <c r="A188" s="8"/>
      <c r="B188" s="9"/>
      <c r="C188" s="9"/>
      <c r="D188" s="9"/>
      <c r="E188" s="9"/>
      <c r="F188" s="9"/>
      <c r="G188" s="9"/>
      <c r="H188" s="9"/>
    </row>
    <row r="189" s="1" customFormat="1" ht="18" spans="1:8">
      <c r="A189" s="10"/>
      <c r="B189" s="9"/>
      <c r="C189" s="9"/>
      <c r="D189" s="9"/>
      <c r="E189" s="9"/>
      <c r="F189" s="9"/>
      <c r="G189" s="9"/>
      <c r="H189" s="9"/>
    </row>
    <row r="190" s="1" customFormat="1" ht="18" spans="1:8">
      <c r="A190" s="10"/>
      <c r="B190" s="9"/>
      <c r="C190" s="9"/>
      <c r="D190" s="9"/>
      <c r="E190" s="9"/>
      <c r="F190" s="9"/>
      <c r="G190" s="9"/>
      <c r="H190" s="9"/>
    </row>
    <row r="191" s="1" customFormat="1" ht="18" spans="1:8">
      <c r="A191" s="8"/>
      <c r="B191" s="9"/>
      <c r="C191" s="9"/>
      <c r="D191" s="9"/>
      <c r="E191" s="9"/>
      <c r="F191" s="9"/>
      <c r="G191" s="9"/>
      <c r="H191" s="9"/>
    </row>
    <row r="192" s="1" customFormat="1" ht="18" spans="1:8">
      <c r="A192" s="8"/>
      <c r="B192" s="9"/>
      <c r="C192" s="9"/>
      <c r="D192" s="9"/>
      <c r="E192" s="9"/>
      <c r="F192" s="9"/>
      <c r="G192" s="9"/>
      <c r="H192" s="9"/>
    </row>
    <row r="193" s="1" customFormat="1" ht="18" spans="1:8">
      <c r="A193" s="8"/>
      <c r="B193" s="9"/>
      <c r="C193" s="9"/>
      <c r="D193" s="9"/>
      <c r="E193" s="9"/>
      <c r="F193" s="9"/>
      <c r="G193" s="9"/>
      <c r="H193" s="9"/>
    </row>
    <row r="194" s="1" customFormat="1" ht="18" spans="1:8">
      <c r="A194" s="8"/>
      <c r="B194" s="9"/>
      <c r="C194" s="9"/>
      <c r="D194" s="9"/>
      <c r="E194" s="9"/>
      <c r="F194" s="9"/>
      <c r="G194" s="9"/>
      <c r="H194" s="9"/>
    </row>
    <row r="195" s="1" customFormat="1" ht="17.25" spans="1:8">
      <c r="A195" s="8"/>
      <c r="B195" s="9"/>
      <c r="C195" s="9"/>
      <c r="D195" s="9"/>
      <c r="E195" s="9"/>
      <c r="F195" s="9"/>
      <c r="G195" s="9"/>
      <c r="H195" s="9"/>
    </row>
    <row r="196" s="1" customFormat="1" ht="16.5" spans="1:8">
      <c r="A196" s="5"/>
    </row>
    <row r="197" s="1" customFormat="1" ht="16.5" spans="1:8">
      <c r="A197" s="5"/>
    </row>
    <row r="198" s="1" customFormat="1" ht="16.5" spans="1:8">
      <c r="A198" s="11"/>
      <c r="B198" s="11"/>
      <c r="C198" s="11"/>
      <c r="D198" s="11"/>
      <c r="E198" s="11"/>
      <c r="F198" s="11"/>
      <c r="G198" s="11"/>
      <c r="H198" s="11"/>
    </row>
    <row r="199" s="1" customFormat="1" ht="16.5" spans="1:8">
      <c r="A199" s="5"/>
    </row>
    <row r="200" s="1" customFormat="1" ht="16.5" spans="1:8">
      <c r="A200" s="5"/>
    </row>
    <row r="201" s="1" customFormat="1" ht="22.5" spans="1:8">
      <c r="A201" s="2"/>
    </row>
    <row r="202" s="1" customFormat="1" ht="17.25" spans="1:8">
      <c r="A202" s="3"/>
      <c r="B202" s="4"/>
    </row>
    <row r="203" s="1" customFormat="1" ht="17.25" spans="1:8">
      <c r="A203" s="3"/>
      <c r="B203" s="4"/>
    </row>
    <row r="204" s="1" customFormat="1" ht="16.5" spans="1:8">
      <c r="A204" s="5"/>
    </row>
    <row r="205" s="1" customFormat="1" ht="18.75" spans="1:8">
      <c r="A205" s="6"/>
      <c r="B205" s="7"/>
      <c r="C205" s="7"/>
      <c r="D205" s="7"/>
      <c r="E205" s="7"/>
      <c r="F205" s="7"/>
      <c r="G205" s="7"/>
      <c r="H205" s="7"/>
    </row>
    <row r="206" s="1" customFormat="1" ht="18" spans="1:8">
      <c r="A206" s="8"/>
      <c r="B206" s="9"/>
      <c r="C206" s="9"/>
      <c r="D206" s="9"/>
      <c r="E206" s="9"/>
      <c r="F206" s="9"/>
      <c r="G206" s="9"/>
      <c r="H206" s="9"/>
    </row>
    <row r="207" s="1" customFormat="1" ht="18" spans="1:8">
      <c r="A207" s="8"/>
      <c r="B207" s="9"/>
      <c r="C207" s="9"/>
      <c r="D207" s="9"/>
      <c r="E207" s="9"/>
      <c r="F207" s="9"/>
      <c r="G207" s="9"/>
      <c r="H207" s="9"/>
    </row>
    <row r="208" s="1" customFormat="1" ht="18" spans="1:8">
      <c r="A208" s="8"/>
      <c r="B208" s="9"/>
      <c r="C208" s="9"/>
      <c r="D208" s="9"/>
      <c r="E208" s="9"/>
      <c r="F208" s="9"/>
      <c r="G208" s="9"/>
      <c r="H208" s="9"/>
    </row>
    <row r="209" s="1" customFormat="1" ht="18" spans="1:8">
      <c r="A209" s="10"/>
      <c r="B209" s="9"/>
      <c r="C209" s="9"/>
      <c r="D209" s="9"/>
      <c r="E209" s="9"/>
      <c r="F209" s="9"/>
      <c r="G209" s="9"/>
      <c r="H209" s="9"/>
    </row>
    <row r="210" s="1" customFormat="1" ht="18" spans="1:8">
      <c r="A210" s="10"/>
      <c r="B210" s="9"/>
      <c r="C210" s="9"/>
      <c r="D210" s="9"/>
      <c r="E210" s="9"/>
      <c r="F210" s="9"/>
      <c r="G210" s="9"/>
      <c r="H210" s="9"/>
    </row>
    <row r="211" s="1" customFormat="1" ht="18" spans="1:8">
      <c r="A211" s="8"/>
      <c r="B211" s="9"/>
      <c r="C211" s="9"/>
      <c r="D211" s="9"/>
      <c r="E211" s="9"/>
      <c r="F211" s="9"/>
      <c r="G211" s="9"/>
      <c r="H211" s="9"/>
    </row>
    <row r="212" s="1" customFormat="1" ht="18" spans="1:8">
      <c r="A212" s="8"/>
      <c r="B212" s="9"/>
      <c r="C212" s="9"/>
      <c r="D212" s="9"/>
      <c r="E212" s="9"/>
      <c r="F212" s="9"/>
      <c r="G212" s="9"/>
      <c r="H212" s="9"/>
    </row>
    <row r="213" s="1" customFormat="1" ht="18" spans="1:8">
      <c r="A213" s="8"/>
      <c r="B213" s="9"/>
      <c r="C213" s="9"/>
      <c r="D213" s="9"/>
      <c r="E213" s="9"/>
      <c r="F213" s="9"/>
      <c r="G213" s="9"/>
      <c r="H213" s="9"/>
    </row>
    <row r="214" s="1" customFormat="1" ht="18" spans="1:8">
      <c r="A214" s="8"/>
      <c r="B214" s="9"/>
      <c r="C214" s="9"/>
      <c r="D214" s="9"/>
      <c r="E214" s="9"/>
      <c r="F214" s="9"/>
      <c r="G214" s="9"/>
      <c r="H214" s="9"/>
    </row>
    <row r="215" s="1" customFormat="1" ht="17.25" spans="1:8">
      <c r="A215" s="8"/>
      <c r="B215" s="9"/>
      <c r="C215" s="9"/>
      <c r="D215" s="9"/>
      <c r="E215" s="9"/>
      <c r="F215" s="9"/>
      <c r="G215" s="9"/>
      <c r="H215" s="9"/>
    </row>
    <row r="216" s="1" customFormat="1" ht="16.5" spans="1:8">
      <c r="A216" s="5"/>
    </row>
    <row r="217" s="1" customFormat="1" ht="16.5" spans="1:8">
      <c r="A217" s="5"/>
    </row>
    <row r="218" s="1" customFormat="1" ht="16.5" spans="1:8">
      <c r="A218" s="11"/>
      <c r="B218" s="11"/>
      <c r="C218" s="11"/>
      <c r="D218" s="11"/>
      <c r="E218" s="11"/>
      <c r="F218" s="11"/>
      <c r="G218" s="11"/>
      <c r="H218" s="11"/>
    </row>
    <row r="219" s="1" customFormat="1" ht="16.5" spans="1:8">
      <c r="A219" s="5"/>
    </row>
    <row r="220" s="1" customFormat="1" ht="16.5" spans="1:8">
      <c r="A220" s="5"/>
    </row>
    <row r="221" s="1" customFormat="1" ht="22.5" spans="1:8">
      <c r="A221" s="2"/>
    </row>
    <row r="222" s="1" customFormat="1" ht="17.25" spans="1:8">
      <c r="A222" s="3"/>
      <c r="B222" s="4"/>
    </row>
    <row r="223" s="1" customFormat="1" ht="17.25" spans="1:8">
      <c r="A223" s="3"/>
      <c r="B223" s="4"/>
    </row>
    <row r="224" s="1" customFormat="1" ht="16.5" spans="1:8">
      <c r="A224" s="5"/>
    </row>
    <row r="225" s="1" customFormat="1" ht="18.75" spans="1:8">
      <c r="A225" s="6"/>
      <c r="B225" s="7"/>
      <c r="C225" s="7"/>
      <c r="D225" s="7"/>
      <c r="E225" s="7"/>
      <c r="F225" s="7"/>
      <c r="G225" s="7"/>
      <c r="H225" s="7"/>
    </row>
    <row r="226" s="1" customFormat="1" ht="18" spans="1:8">
      <c r="A226" s="8"/>
      <c r="B226" s="9"/>
      <c r="C226" s="9"/>
      <c r="D226" s="9"/>
      <c r="E226" s="9"/>
      <c r="F226" s="9"/>
      <c r="G226" s="9"/>
      <c r="H226" s="9"/>
    </row>
    <row r="227" s="1" customFormat="1" ht="18" spans="1:8">
      <c r="A227" s="8"/>
      <c r="B227" s="9"/>
      <c r="C227" s="9"/>
      <c r="D227" s="9"/>
      <c r="E227" s="9"/>
      <c r="F227" s="9"/>
      <c r="G227" s="9"/>
      <c r="H227" s="9"/>
    </row>
    <row r="228" s="1" customFormat="1" ht="18" spans="1:8">
      <c r="A228" s="8"/>
      <c r="B228" s="9"/>
      <c r="C228" s="9"/>
      <c r="D228" s="9"/>
      <c r="E228" s="9"/>
      <c r="F228" s="9"/>
      <c r="G228" s="9"/>
      <c r="H228" s="9"/>
    </row>
    <row r="229" s="1" customFormat="1" ht="18" spans="1:8">
      <c r="A229" s="10"/>
      <c r="B229" s="9"/>
      <c r="C229" s="9"/>
      <c r="D229" s="9"/>
      <c r="E229" s="9"/>
      <c r="F229" s="9"/>
      <c r="G229" s="9"/>
      <c r="H229" s="9"/>
    </row>
    <row r="230" s="1" customFormat="1" ht="18" spans="1:8">
      <c r="A230" s="10"/>
      <c r="B230" s="9"/>
      <c r="C230" s="9"/>
      <c r="D230" s="9"/>
      <c r="E230" s="9"/>
      <c r="F230" s="9"/>
      <c r="G230" s="9"/>
      <c r="H230" s="9"/>
    </row>
    <row r="231" s="1" customFormat="1" ht="18" spans="1:8">
      <c r="A231" s="8"/>
      <c r="B231" s="9"/>
      <c r="C231" s="9"/>
      <c r="D231" s="9"/>
      <c r="E231" s="9"/>
      <c r="F231" s="9"/>
      <c r="G231" s="9"/>
      <c r="H231" s="9"/>
    </row>
    <row r="232" s="1" customFormat="1" ht="18" spans="1:8">
      <c r="A232" s="8"/>
      <c r="B232" s="9"/>
      <c r="C232" s="9"/>
      <c r="D232" s="9"/>
      <c r="E232" s="9"/>
      <c r="F232" s="9"/>
      <c r="G232" s="9"/>
      <c r="H232" s="9"/>
    </row>
    <row r="233" s="1" customFormat="1" ht="18" spans="1:8">
      <c r="A233" s="8"/>
      <c r="B233" s="9"/>
      <c r="C233" s="9"/>
      <c r="D233" s="9"/>
      <c r="E233" s="9"/>
      <c r="F233" s="9"/>
      <c r="G233" s="9"/>
      <c r="H233" s="9"/>
    </row>
    <row r="234" s="1" customFormat="1" ht="18" spans="1:8">
      <c r="A234" s="8"/>
      <c r="B234" s="9"/>
      <c r="C234" s="9"/>
      <c r="D234" s="9"/>
      <c r="E234" s="9"/>
      <c r="F234" s="9"/>
      <c r="G234" s="9"/>
      <c r="H234" s="9"/>
    </row>
    <row r="235" s="1" customFormat="1" ht="17.25" spans="1:8">
      <c r="A235" s="8"/>
      <c r="B235" s="9"/>
      <c r="C235" s="9"/>
      <c r="D235" s="9"/>
      <c r="E235" s="9"/>
      <c r="F235" s="9"/>
      <c r="G235" s="9"/>
      <c r="H235" s="9"/>
    </row>
    <row r="236" s="1" customFormat="1" ht="16.5" spans="1:8">
      <c r="A236" s="5"/>
    </row>
    <row r="237" s="1" customFormat="1" ht="16.5" spans="1:8">
      <c r="A237" s="5"/>
    </row>
    <row r="238" s="1" customFormat="1" ht="16.5" spans="1:8">
      <c r="A238" s="11"/>
      <c r="B238" s="11"/>
      <c r="C238" s="11"/>
      <c r="D238" s="11"/>
      <c r="E238" s="11"/>
      <c r="F238" s="11"/>
      <c r="G238" s="11"/>
      <c r="H238" s="11"/>
    </row>
    <row r="239" s="1" customFormat="1" ht="16.5" spans="1:8">
      <c r="A239" s="5"/>
    </row>
    <row r="240" s="1" customFormat="1" ht="16.5" spans="1:8">
      <c r="A240" s="5"/>
    </row>
    <row r="241" s="1" customFormat="1" ht="22.5" spans="1:8">
      <c r="A241" s="2"/>
    </row>
    <row r="242" s="1" customFormat="1" ht="17.25" spans="1:8">
      <c r="A242" s="3"/>
      <c r="B242" s="4"/>
    </row>
    <row r="243" s="1" customFormat="1" ht="17.25" spans="1:8">
      <c r="A243" s="3"/>
      <c r="B243" s="4"/>
    </row>
    <row r="244" s="1" customFormat="1" ht="16.5" spans="1:8">
      <c r="A244" s="5"/>
    </row>
    <row r="245" s="1" customFormat="1" ht="18.75" spans="1:8">
      <c r="A245" s="6"/>
      <c r="B245" s="7"/>
      <c r="C245" s="7"/>
      <c r="D245" s="7"/>
      <c r="E245" s="7"/>
      <c r="F245" s="7"/>
      <c r="G245" s="7"/>
      <c r="H245" s="7"/>
    </row>
    <row r="246" s="1" customFormat="1" ht="18" spans="1:8">
      <c r="A246" s="8"/>
      <c r="B246" s="9"/>
      <c r="C246" s="9"/>
      <c r="D246" s="9"/>
      <c r="E246" s="9"/>
      <c r="F246" s="9"/>
      <c r="G246" s="9"/>
      <c r="H246" s="9"/>
    </row>
    <row r="247" s="1" customFormat="1" ht="18" spans="1:8">
      <c r="A247" s="8"/>
      <c r="B247" s="9"/>
      <c r="C247" s="9"/>
      <c r="D247" s="9"/>
      <c r="E247" s="9"/>
      <c r="F247" s="9"/>
      <c r="G247" s="9"/>
      <c r="H247" s="9"/>
    </row>
    <row r="248" s="1" customFormat="1" ht="18" spans="1:8">
      <c r="A248" s="8"/>
      <c r="B248" s="9"/>
      <c r="C248" s="9"/>
      <c r="D248" s="9"/>
      <c r="E248" s="9"/>
      <c r="F248" s="9"/>
      <c r="G248" s="9"/>
      <c r="H248" s="9"/>
    </row>
    <row r="249" s="1" customFormat="1" ht="18" spans="1:8">
      <c r="A249" s="10"/>
      <c r="B249" s="9"/>
      <c r="C249" s="9"/>
      <c r="D249" s="9"/>
      <c r="E249" s="9"/>
      <c r="F249" s="9"/>
      <c r="G249" s="9"/>
      <c r="H249" s="9"/>
    </row>
    <row r="250" s="1" customFormat="1" ht="18" spans="1:8">
      <c r="A250" s="10"/>
      <c r="B250" s="9"/>
      <c r="C250" s="9"/>
      <c r="D250" s="9"/>
      <c r="E250" s="9"/>
      <c r="F250" s="9"/>
      <c r="G250" s="9"/>
      <c r="H250" s="9"/>
    </row>
    <row r="251" s="1" customFormat="1" ht="18" spans="1:8">
      <c r="A251" s="8"/>
      <c r="B251" s="9"/>
      <c r="C251" s="9"/>
      <c r="D251" s="9"/>
      <c r="E251" s="9"/>
      <c r="F251" s="9"/>
      <c r="G251" s="9"/>
      <c r="H251" s="9"/>
    </row>
    <row r="252" s="1" customFormat="1" ht="18" spans="1:8">
      <c r="A252" s="8"/>
      <c r="B252" s="9"/>
      <c r="C252" s="9"/>
      <c r="D252" s="9"/>
      <c r="E252" s="9"/>
      <c r="F252" s="9"/>
      <c r="G252" s="9"/>
      <c r="H252" s="9"/>
    </row>
    <row r="253" s="1" customFormat="1" ht="18" spans="1:8">
      <c r="A253" s="8"/>
      <c r="B253" s="9"/>
      <c r="C253" s="9"/>
      <c r="D253" s="9"/>
      <c r="E253" s="9"/>
      <c r="F253" s="9"/>
      <c r="G253" s="9"/>
      <c r="H253" s="9"/>
    </row>
    <row r="254" s="1" customFormat="1" ht="18" spans="1:8">
      <c r="A254" s="8"/>
      <c r="B254" s="9"/>
      <c r="C254" s="9"/>
      <c r="D254" s="9"/>
      <c r="E254" s="9"/>
      <c r="F254" s="9"/>
      <c r="G254" s="9"/>
      <c r="H254" s="9"/>
    </row>
    <row r="255" s="1" customFormat="1" ht="17.25" spans="1:8">
      <c r="A255" s="8"/>
      <c r="B255" s="9"/>
      <c r="C255" s="9"/>
      <c r="D255" s="9"/>
      <c r="E255" s="9"/>
      <c r="F255" s="9"/>
      <c r="G255" s="9"/>
      <c r="H255" s="9"/>
    </row>
    <row r="256" s="1" customFormat="1" ht="16.5" spans="1:8">
      <c r="A256" s="5"/>
    </row>
    <row r="257" s="1" customFormat="1" ht="16.5" spans="1:8">
      <c r="A257" s="5"/>
    </row>
    <row r="258" s="1" customFormat="1" ht="16.5" spans="1:8">
      <c r="A258" s="11"/>
      <c r="B258" s="11"/>
      <c r="C258" s="11"/>
      <c r="D258" s="11"/>
      <c r="E258" s="11"/>
      <c r="F258" s="11"/>
      <c r="G258" s="11"/>
      <c r="H258" s="11"/>
    </row>
    <row r="259" s="1" customFormat="1" ht="16.5" spans="1:8">
      <c r="A259" s="5"/>
    </row>
    <row r="260" s="1" customFormat="1" ht="16.5" spans="1:8">
      <c r="A260" s="5"/>
    </row>
    <row r="261" s="1" customFormat="1" ht="22.5" spans="1:8">
      <c r="A261" s="2"/>
    </row>
    <row r="262" s="1" customFormat="1" ht="17.25" spans="1:8">
      <c r="A262" s="3"/>
      <c r="B262" s="4"/>
    </row>
    <row r="263" s="1" customFormat="1" ht="17.25" spans="1:8">
      <c r="A263" s="3"/>
      <c r="B263" s="4"/>
    </row>
    <row r="264" s="1" customFormat="1" ht="16.5" spans="1:8">
      <c r="A264" s="5"/>
    </row>
    <row r="265" s="1" customFormat="1" ht="18.75" spans="1:8">
      <c r="A265" s="6"/>
      <c r="B265" s="7"/>
      <c r="C265" s="7"/>
      <c r="D265" s="7"/>
      <c r="E265" s="7"/>
      <c r="F265" s="7"/>
      <c r="G265" s="7"/>
      <c r="H265" s="7"/>
    </row>
    <row r="266" s="1" customFormat="1" ht="18" spans="1:8">
      <c r="A266" s="8"/>
      <c r="B266" s="9"/>
      <c r="C266" s="9"/>
      <c r="D266" s="9"/>
      <c r="E266" s="9"/>
      <c r="F266" s="9"/>
      <c r="G266" s="9"/>
      <c r="H266" s="9"/>
    </row>
    <row r="267" s="1" customFormat="1" ht="18" spans="1:8">
      <c r="A267" s="8"/>
      <c r="B267" s="9"/>
      <c r="C267" s="9"/>
      <c r="D267" s="9"/>
      <c r="E267" s="9"/>
      <c r="F267" s="9"/>
      <c r="G267" s="9"/>
      <c r="H267" s="9"/>
    </row>
    <row r="268" s="1" customFormat="1" ht="18" spans="1:8">
      <c r="A268" s="8"/>
      <c r="B268" s="9"/>
      <c r="C268" s="9"/>
      <c r="D268" s="9"/>
      <c r="E268" s="9"/>
      <c r="F268" s="9"/>
      <c r="G268" s="9"/>
      <c r="H268" s="9"/>
    </row>
    <row r="269" s="1" customFormat="1" ht="18" spans="1:8">
      <c r="A269" s="10"/>
      <c r="B269" s="9"/>
      <c r="C269" s="9"/>
      <c r="D269" s="9"/>
      <c r="E269" s="9"/>
      <c r="F269" s="9"/>
      <c r="G269" s="9"/>
      <c r="H269" s="9"/>
    </row>
    <row r="270" s="1" customFormat="1" ht="18" spans="1:8">
      <c r="A270" s="10"/>
      <c r="B270" s="9"/>
      <c r="C270" s="9"/>
      <c r="D270" s="9"/>
      <c r="E270" s="9"/>
      <c r="F270" s="9"/>
      <c r="G270" s="9"/>
      <c r="H270" s="9"/>
    </row>
    <row r="271" s="1" customFormat="1" ht="18" spans="1:8">
      <c r="A271" s="8"/>
      <c r="B271" s="9"/>
      <c r="C271" s="9"/>
      <c r="D271" s="9"/>
      <c r="E271" s="9"/>
      <c r="F271" s="9"/>
      <c r="G271" s="9"/>
      <c r="H271" s="9"/>
    </row>
    <row r="272" s="1" customFormat="1" ht="18" spans="1:8">
      <c r="A272" s="8"/>
      <c r="B272" s="9"/>
      <c r="C272" s="9"/>
      <c r="D272" s="9"/>
      <c r="E272" s="9"/>
      <c r="F272" s="9"/>
      <c r="G272" s="9"/>
      <c r="H272" s="9"/>
    </row>
    <row r="273" s="1" customFormat="1" ht="18" spans="1:8">
      <c r="A273" s="8"/>
      <c r="B273" s="9"/>
      <c r="C273" s="9"/>
      <c r="D273" s="9"/>
      <c r="E273" s="9"/>
      <c r="F273" s="9"/>
      <c r="G273" s="9"/>
      <c r="H273" s="9"/>
    </row>
    <row r="274" s="1" customFormat="1" ht="18" spans="1:8">
      <c r="A274" s="8"/>
      <c r="B274" s="9"/>
      <c r="C274" s="9"/>
      <c r="D274" s="9"/>
      <c r="E274" s="9"/>
      <c r="F274" s="9"/>
      <c r="G274" s="9"/>
      <c r="H274" s="9"/>
    </row>
    <row r="275" s="1" customFormat="1" ht="17.25" spans="1:8">
      <c r="A275" s="8"/>
      <c r="B275" s="9"/>
      <c r="C275" s="9"/>
      <c r="D275" s="9"/>
      <c r="E275" s="9"/>
      <c r="F275" s="9"/>
      <c r="G275" s="9"/>
      <c r="H275" s="9"/>
    </row>
    <row r="276" s="1" customFormat="1" ht="16.5" spans="1:8">
      <c r="A276" s="5"/>
    </row>
    <row r="277" s="1" customFormat="1" ht="16.5" spans="1:8">
      <c r="A277" s="5"/>
    </row>
    <row r="278" s="1" customFormat="1" ht="16.5" spans="1:8">
      <c r="A278" s="11"/>
      <c r="B278" s="11"/>
      <c r="C278" s="11"/>
      <c r="D278" s="11"/>
      <c r="E278" s="11"/>
      <c r="F278" s="11"/>
      <c r="G278" s="11"/>
      <c r="H278" s="11"/>
    </row>
    <row r="279" s="1" customFormat="1" ht="16.5" spans="1:8">
      <c r="A279" s="5"/>
    </row>
    <row r="280" s="1" customFormat="1" ht="16.5" spans="1:8">
      <c r="A280" s="5"/>
    </row>
    <row r="281" s="1" customFormat="1" ht="22.5" spans="1:8">
      <c r="A281" s="2"/>
    </row>
    <row r="282" s="1" customFormat="1" ht="17.25" spans="1:8">
      <c r="A282" s="3"/>
      <c r="B282" s="4"/>
    </row>
    <row r="283" s="1" customFormat="1" ht="17.25" spans="1:8">
      <c r="A283" s="3"/>
      <c r="B283" s="4"/>
    </row>
    <row r="284" s="1" customFormat="1" ht="16.5" spans="1:8">
      <c r="A284" s="5"/>
    </row>
    <row r="285" s="1" customFormat="1" ht="18.75" spans="1:8">
      <c r="A285" s="6"/>
      <c r="B285" s="7"/>
      <c r="C285" s="7"/>
      <c r="D285" s="7"/>
      <c r="E285" s="7"/>
      <c r="F285" s="7"/>
      <c r="G285" s="7"/>
      <c r="H285" s="7"/>
    </row>
    <row r="286" s="1" customFormat="1" ht="18" spans="1:8">
      <c r="A286" s="8"/>
      <c r="B286" s="9"/>
      <c r="C286" s="9"/>
      <c r="D286" s="9"/>
      <c r="E286" s="9"/>
      <c r="F286" s="9"/>
      <c r="G286" s="9"/>
      <c r="H286" s="9"/>
    </row>
    <row r="287" s="1" customFormat="1" ht="18" spans="1:8">
      <c r="A287" s="8"/>
      <c r="B287" s="9"/>
      <c r="C287" s="9"/>
      <c r="D287" s="9"/>
      <c r="E287" s="9"/>
      <c r="F287" s="9"/>
      <c r="G287" s="9"/>
      <c r="H287" s="9"/>
    </row>
    <row r="288" s="1" customFormat="1" ht="18" spans="1:8">
      <c r="A288" s="8"/>
      <c r="B288" s="9"/>
      <c r="C288" s="9"/>
      <c r="D288" s="9"/>
      <c r="E288" s="9"/>
      <c r="F288" s="9"/>
      <c r="G288" s="9"/>
      <c r="H288" s="9"/>
    </row>
    <row r="289" s="1" customFormat="1" ht="18" spans="1:8">
      <c r="A289" s="10"/>
      <c r="B289" s="9"/>
      <c r="C289" s="9"/>
      <c r="D289" s="9"/>
      <c r="E289" s="9"/>
      <c r="F289" s="9"/>
      <c r="G289" s="9"/>
      <c r="H289" s="9"/>
    </row>
    <row r="290" s="1" customFormat="1" ht="18" spans="1:8">
      <c r="A290" s="10"/>
      <c r="B290" s="9"/>
      <c r="C290" s="9"/>
      <c r="D290" s="9"/>
      <c r="E290" s="9"/>
      <c r="F290" s="9"/>
      <c r="G290" s="9"/>
      <c r="H290" s="9"/>
    </row>
    <row r="291" s="1" customFormat="1" ht="18" spans="1:8">
      <c r="A291" s="8"/>
      <c r="B291" s="9"/>
      <c r="C291" s="9"/>
      <c r="D291" s="9"/>
      <c r="E291" s="9"/>
      <c r="F291" s="9"/>
      <c r="G291" s="9"/>
      <c r="H291" s="9"/>
    </row>
    <row r="292" s="1" customFormat="1" ht="18" spans="1:8">
      <c r="A292" s="8"/>
      <c r="B292" s="9"/>
      <c r="C292" s="9"/>
      <c r="D292" s="9"/>
      <c r="E292" s="9"/>
      <c r="F292" s="9"/>
      <c r="G292" s="9"/>
      <c r="H292" s="9"/>
    </row>
    <row r="293" s="1" customFormat="1" ht="18" spans="1:8">
      <c r="A293" s="8"/>
      <c r="B293" s="9"/>
      <c r="C293" s="9"/>
      <c r="D293" s="9"/>
      <c r="E293" s="9"/>
      <c r="F293" s="9"/>
      <c r="G293" s="9"/>
      <c r="H293" s="9"/>
    </row>
    <row r="294" s="1" customFormat="1" ht="18" spans="1:8">
      <c r="A294" s="8"/>
      <c r="B294" s="9"/>
      <c r="C294" s="9"/>
      <c r="D294" s="9"/>
      <c r="E294" s="9"/>
      <c r="F294" s="9"/>
      <c r="G294" s="9"/>
      <c r="H294" s="9"/>
    </row>
    <row r="295" s="1" customFormat="1" ht="17.25" spans="1:8">
      <c r="A295" s="8"/>
      <c r="B295" s="9"/>
      <c r="C295" s="9"/>
      <c r="D295" s="9"/>
      <c r="E295" s="9"/>
      <c r="F295" s="9"/>
      <c r="G295" s="9"/>
      <c r="H295" s="9"/>
    </row>
    <row r="296" s="1" customFormat="1" ht="16.5" spans="1:8">
      <c r="A296" s="5"/>
    </row>
    <row r="297" s="1" customFormat="1" ht="16.5" spans="1:8">
      <c r="A297" s="5"/>
    </row>
    <row r="298" s="1" customFormat="1" ht="16.5" spans="1:8">
      <c r="A298" s="11"/>
      <c r="B298" s="11"/>
      <c r="C298" s="11"/>
      <c r="D298" s="11"/>
      <c r="E298" s="11"/>
      <c r="F298" s="11"/>
      <c r="G298" s="11"/>
      <c r="H298" s="11"/>
    </row>
    <row r="299" s="1" customFormat="1" ht="16.5" spans="1:8">
      <c r="A299" s="5"/>
    </row>
    <row r="300" s="1" customFormat="1" ht="16.5" spans="1:8">
      <c r="A300" s="5"/>
    </row>
    <row r="301" s="1" customFormat="1" ht="22.5" spans="1:8">
      <c r="A301" s="2"/>
    </row>
    <row r="302" s="1" customFormat="1" ht="17.25" spans="1:8">
      <c r="A302" s="3"/>
      <c r="B302" s="4"/>
    </row>
    <row r="303" s="1" customFormat="1" ht="17.25" spans="1:8">
      <c r="A303" s="3"/>
      <c r="B303" s="4"/>
    </row>
    <row r="304" s="1" customFormat="1" ht="16.5" spans="1:8">
      <c r="A304" s="5"/>
    </row>
    <row r="305" s="1" customFormat="1" ht="18.75" spans="1:8">
      <c r="A305" s="6"/>
      <c r="B305" s="7"/>
      <c r="C305" s="7"/>
      <c r="D305" s="7"/>
      <c r="E305" s="7"/>
      <c r="F305" s="7"/>
      <c r="G305" s="7"/>
      <c r="H305" s="7"/>
    </row>
    <row r="306" s="1" customFormat="1" ht="18" spans="1:8">
      <c r="A306" s="8"/>
      <c r="B306" s="9"/>
      <c r="C306" s="9"/>
      <c r="D306" s="9"/>
      <c r="E306" s="9"/>
      <c r="F306" s="9"/>
      <c r="G306" s="9"/>
      <c r="H306" s="9"/>
    </row>
    <row r="307" s="1" customFormat="1" ht="18" spans="1:8">
      <c r="A307" s="8"/>
      <c r="B307" s="9"/>
      <c r="C307" s="9"/>
      <c r="D307" s="9"/>
      <c r="E307" s="9"/>
      <c r="F307" s="9"/>
      <c r="G307" s="9"/>
      <c r="H307" s="9"/>
    </row>
    <row r="308" s="1" customFormat="1" ht="18" spans="1:8">
      <c r="A308" s="8"/>
      <c r="B308" s="9"/>
      <c r="C308" s="9"/>
      <c r="D308" s="9"/>
      <c r="E308" s="9"/>
      <c r="F308" s="9"/>
      <c r="G308" s="9"/>
      <c r="H308" s="9"/>
    </row>
    <row r="309" s="1" customFormat="1" ht="18" spans="1:8">
      <c r="A309" s="10"/>
      <c r="B309" s="9"/>
      <c r="C309" s="9"/>
      <c r="D309" s="9"/>
      <c r="E309" s="9"/>
      <c r="F309" s="9"/>
      <c r="G309" s="9"/>
      <c r="H309" s="9"/>
    </row>
    <row r="310" s="1" customFormat="1" ht="18" spans="1:8">
      <c r="A310" s="10"/>
      <c r="B310" s="9"/>
      <c r="C310" s="9"/>
      <c r="D310" s="9"/>
      <c r="E310" s="9"/>
      <c r="F310" s="9"/>
      <c r="G310" s="9"/>
      <c r="H310" s="9"/>
    </row>
    <row r="311" s="1" customFormat="1" ht="18" spans="1:8">
      <c r="A311" s="8"/>
      <c r="B311" s="9"/>
      <c r="C311" s="9"/>
      <c r="D311" s="9"/>
      <c r="E311" s="9"/>
      <c r="F311" s="9"/>
      <c r="G311" s="9"/>
      <c r="H311" s="9"/>
    </row>
    <row r="312" s="1" customFormat="1" ht="18" spans="1:8">
      <c r="A312" s="8"/>
      <c r="B312" s="9"/>
      <c r="C312" s="9"/>
      <c r="D312" s="9"/>
      <c r="E312" s="9"/>
      <c r="F312" s="9"/>
      <c r="G312" s="9"/>
      <c r="H312" s="9"/>
    </row>
    <row r="313" s="1" customFormat="1" ht="18" spans="1:8">
      <c r="A313" s="8"/>
      <c r="B313" s="9"/>
      <c r="C313" s="9"/>
      <c r="D313" s="9"/>
      <c r="E313" s="9"/>
      <c r="F313" s="9"/>
      <c r="G313" s="9"/>
      <c r="H313" s="9"/>
    </row>
    <row r="314" s="1" customFormat="1" ht="18" spans="1:8">
      <c r="A314" s="8"/>
      <c r="B314" s="9"/>
      <c r="C314" s="9"/>
      <c r="D314" s="9"/>
      <c r="E314" s="9"/>
      <c r="F314" s="9"/>
      <c r="G314" s="9"/>
      <c r="H314" s="9"/>
    </row>
    <row r="315" s="1" customFormat="1" ht="17.25" spans="1:8">
      <c r="A315" s="8"/>
      <c r="B315" s="9"/>
      <c r="C315" s="9"/>
      <c r="D315" s="9"/>
      <c r="E315" s="9"/>
      <c r="F315" s="9"/>
      <c r="G315" s="9"/>
      <c r="H315" s="9"/>
    </row>
    <row r="316" s="1" customFormat="1" ht="16.5" spans="1:8">
      <c r="A316" s="5"/>
    </row>
    <row r="317" s="1" customFormat="1" ht="16.5" spans="1:8">
      <c r="A317" s="5"/>
    </row>
    <row r="318" s="1" customFormat="1" ht="16.5" spans="1:8">
      <c r="A318" s="11"/>
      <c r="B318" s="11"/>
      <c r="C318" s="11"/>
      <c r="D318" s="11"/>
      <c r="E318" s="11"/>
      <c r="F318" s="11"/>
      <c r="G318" s="11"/>
      <c r="H318" s="11"/>
    </row>
    <row r="319" s="1" customFormat="1" ht="16.5" spans="1:8">
      <c r="A319" s="5"/>
    </row>
    <row r="320" s="1" customFormat="1" ht="16.5" spans="1:8">
      <c r="A320" s="5"/>
    </row>
    <row r="321" s="1" customFormat="1" ht="22.5" spans="1:8">
      <c r="A321" s="2"/>
    </row>
    <row r="322" s="1" customFormat="1" ht="17.25" spans="1:8">
      <c r="A322" s="3"/>
      <c r="B322" s="4"/>
    </row>
    <row r="323" s="1" customFormat="1" ht="17.25" spans="1:8">
      <c r="A323" s="3"/>
      <c r="B323" s="4"/>
    </row>
    <row r="324" s="1" customFormat="1" ht="16.5" spans="1:8">
      <c r="A324" s="5"/>
    </row>
    <row r="325" s="1" customFormat="1" ht="18.75" spans="1:8">
      <c r="A325" s="6"/>
      <c r="B325" s="7"/>
      <c r="C325" s="7"/>
      <c r="D325" s="7"/>
      <c r="E325" s="7"/>
      <c r="F325" s="7"/>
      <c r="G325" s="7"/>
      <c r="H325" s="7"/>
    </row>
    <row r="326" s="1" customFormat="1" ht="18" spans="1:8">
      <c r="A326" s="8"/>
      <c r="B326" s="9"/>
      <c r="C326" s="9"/>
      <c r="D326" s="9"/>
      <c r="E326" s="9"/>
      <c r="F326" s="9"/>
      <c r="G326" s="9"/>
      <c r="H326" s="9"/>
    </row>
    <row r="327" s="1" customFormat="1" ht="18" spans="1:8">
      <c r="A327" s="8"/>
      <c r="B327" s="9"/>
      <c r="C327" s="9"/>
      <c r="D327" s="9"/>
      <c r="E327" s="9"/>
      <c r="F327" s="9"/>
      <c r="G327" s="9"/>
      <c r="H327" s="9"/>
    </row>
    <row r="328" s="1" customFormat="1" ht="18" spans="1:8">
      <c r="A328" s="8"/>
      <c r="B328" s="9"/>
      <c r="C328" s="9"/>
      <c r="D328" s="9"/>
      <c r="E328" s="9"/>
      <c r="F328" s="9"/>
      <c r="G328" s="9"/>
      <c r="H328" s="9"/>
    </row>
    <row r="329" s="1" customFormat="1" ht="18" spans="1:8">
      <c r="A329" s="10"/>
      <c r="B329" s="9"/>
      <c r="C329" s="9"/>
      <c r="D329" s="9"/>
      <c r="E329" s="9"/>
      <c r="F329" s="9"/>
      <c r="G329" s="9"/>
      <c r="H329" s="9"/>
    </row>
    <row r="330" s="1" customFormat="1" ht="18" spans="1:8">
      <c r="A330" s="10"/>
      <c r="B330" s="9"/>
      <c r="C330" s="9"/>
      <c r="D330" s="9"/>
      <c r="E330" s="9"/>
      <c r="F330" s="9"/>
      <c r="G330" s="9"/>
      <c r="H330" s="9"/>
    </row>
    <row r="331" s="1" customFormat="1" ht="18" spans="1:8">
      <c r="A331" s="8"/>
      <c r="B331" s="9"/>
      <c r="C331" s="9"/>
      <c r="D331" s="9"/>
      <c r="E331" s="9"/>
      <c r="F331" s="9"/>
      <c r="G331" s="9"/>
      <c r="H331" s="9"/>
    </row>
    <row r="332" s="1" customFormat="1" ht="18" spans="1:8">
      <c r="A332" s="8"/>
      <c r="B332" s="9"/>
      <c r="C332" s="9"/>
      <c r="D332" s="9"/>
      <c r="E332" s="9"/>
      <c r="F332" s="9"/>
      <c r="G332" s="9"/>
      <c r="H332" s="9"/>
    </row>
    <row r="333" s="1" customFormat="1" ht="18" spans="1:8">
      <c r="A333" s="8"/>
      <c r="B333" s="9"/>
      <c r="C333" s="9"/>
      <c r="D333" s="9"/>
      <c r="E333" s="9"/>
      <c r="F333" s="9"/>
      <c r="G333" s="9"/>
      <c r="H333" s="9"/>
    </row>
    <row r="334" s="1" customFormat="1" ht="18" spans="1:8">
      <c r="A334" s="8"/>
      <c r="B334" s="9"/>
      <c r="C334" s="9"/>
      <c r="D334" s="9"/>
      <c r="E334" s="9"/>
      <c r="F334" s="9"/>
      <c r="G334" s="9"/>
      <c r="H334" s="9"/>
    </row>
    <row r="335" s="1" customFormat="1" ht="17.25" spans="1:8">
      <c r="A335" s="8"/>
      <c r="B335" s="9"/>
      <c r="C335" s="9"/>
      <c r="D335" s="9"/>
      <c r="E335" s="9"/>
      <c r="F335" s="9"/>
      <c r="G335" s="9"/>
      <c r="H335" s="9"/>
    </row>
    <row r="336" s="1" customFormat="1" ht="16.5" spans="1:8">
      <c r="A336" s="5"/>
    </row>
    <row r="337" s="1" customFormat="1" ht="16.5" spans="1:8">
      <c r="A337" s="5"/>
    </row>
    <row r="338" s="1" customFormat="1" ht="16.5" spans="1:8">
      <c r="A338" s="11"/>
      <c r="B338" s="11"/>
      <c r="C338" s="11"/>
      <c r="D338" s="11"/>
      <c r="E338" s="11"/>
      <c r="F338" s="11"/>
      <c r="G338" s="11"/>
      <c r="H338" s="11"/>
    </row>
    <row r="349" spans="1:8">
      <c r="A349" s="12"/>
    </row>
    <row r="350" spans="1:8">
      <c r="A350" s="12"/>
    </row>
    <row r="369" spans="1:1">
      <c r="A369" s="12"/>
    </row>
    <row r="370" spans="1:1">
      <c r="A370" s="12"/>
    </row>
    <row r="389" spans="1:1">
      <c r="A389" s="12"/>
    </row>
    <row r="390" spans="1:1">
      <c r="A390" s="12"/>
    </row>
    <row r="409" spans="1:1">
      <c r="A409" s="12"/>
    </row>
    <row r="410" spans="1:1">
      <c r="A410" s="12"/>
    </row>
    <row r="429" spans="1:1">
      <c r="A429" s="12"/>
    </row>
    <row r="430" spans="1:1">
      <c r="A430" s="12"/>
    </row>
    <row r="449" spans="1:1">
      <c r="A449" s="12"/>
    </row>
    <row r="450" spans="1:1">
      <c r="A450" s="12"/>
    </row>
    <row r="469" spans="1:1">
      <c r="A469" s="12"/>
    </row>
    <row r="470" spans="1:1">
      <c r="A470" s="12"/>
    </row>
    <row r="489" spans="1:1">
      <c r="A489" s="12"/>
    </row>
    <row r="490" spans="1:1">
      <c r="A490" s="12"/>
    </row>
    <row r="509" spans="1:1">
      <c r="A509" s="12"/>
    </row>
    <row r="510" spans="1:1">
      <c r="A510" s="12"/>
    </row>
    <row r="529" spans="1:1">
      <c r="A529" s="12"/>
    </row>
    <row r="530" spans="1:1">
      <c r="A530" s="12"/>
    </row>
    <row r="549" spans="1:1">
      <c r="A549" s="12"/>
    </row>
    <row r="550" spans="1:1">
      <c r="A550" s="1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本地化报价</vt:lpstr>
      <vt:lpstr>字数统计</vt:lpstr>
      <vt:lpstr>字数统计2 </vt:lpstr>
      <vt:lpstr>重复匹配率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DQ</cp:lastModifiedBy>
  <dcterms:created xsi:type="dcterms:W3CDTF">2021-02-04T05:18:00Z</dcterms:created>
  <cp:lastPrinted>2021-12-01T07:56:00Z</cp:lastPrinted>
  <dcterms:modified xsi:type="dcterms:W3CDTF">2026-05-15T09:41:30Z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474F5FEBF94E41F9A321396D8F0B004C_12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