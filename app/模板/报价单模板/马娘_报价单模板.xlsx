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本地化报价" sheetId="1" r:id="rId1"/>
    <sheet name="【字数统计】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<sst xmlns="http://schemas.openxmlformats.org/spreadsheetml/2006/main" count="105" uniqueCount="49">
  <si>
    <t>报价单</t>
  </si>
  <si>
    <t>报价信息</t>
  </si>
  <si>
    <t>报价单号：</t>
  </si>
  <si>
    <t>报价日期：</t>
  </si>
  <si>
    <t>服务内容</t>
  </si>
  <si>
    <t>字数</t>
  </si>
  <si>
    <t>语种</t>
  </si>
  <si>
    <t>每字单价(CNY)</t>
  </si>
  <si>
    <t>税前金额
(CNY)</t>
  </si>
  <si>
    <t>增值税</t>
  </si>
  <si>
    <t>总额
(CNY)</t>
  </si>
  <si>
    <t>合计</t>
  </si>
  <si>
    <t>【交付排期】</t>
  </si>
  <si>
    <t>联系信息</t>
  </si>
  <si>
    <t>我司名称：</t>
  </si>
  <si>
    <t>大连游者之家信息技术有限公司</t>
  </si>
  <si>
    <t>我司地址：</t>
  </si>
  <si>
    <t>辽宁省大连市高新园区黄浦路533号 海创国际大厦7层07单元</t>
  </si>
  <si>
    <t>联系人员：</t>
  </si>
  <si>
    <t>殷守纪</t>
  </si>
  <si>
    <t>联系电话：</t>
  </si>
  <si>
    <t>種類</t>
  </si>
  <si>
    <t>セグメント数</t>
  </si>
  <si>
    <t>ソースの単語数</t>
  </si>
  <si>
    <t>ソースがアジア言語以外の単語数</t>
  </si>
  <si>
    <t>ソースがアジア言語の文字数</t>
  </si>
  <si>
    <t>ソースの文字数</t>
  </si>
  <si>
    <t>ソースのタグ</t>
  </si>
  <si>
    <t>割合</t>
  </si>
  <si>
    <t>【文字统计】</t>
  </si>
  <si>
    <t>すべて</t>
  </si>
  <si>
    <t>（不包括标点，符号的字数）-</t>
  </si>
  <si>
    <t>（重复的不包括标点，符号的字数）=</t>
  </si>
  <si>
    <t>（不包括标点，符号和重复内容的文字数）</t>
  </si>
  <si>
    <t>クロス翻訳/二重コンテキスト</t>
  </si>
  <si>
    <t>(包括标点符号的总字数）-</t>
  </si>
  <si>
    <t>（不包括标点符号的总字数）=</t>
  </si>
  <si>
    <t>（标点，符号字数）</t>
  </si>
  <si>
    <t>繰り返し</t>
  </si>
  <si>
    <t>（标点符号字数）  ×　30% =</t>
  </si>
  <si>
    <t>（计费的标点符号字数）</t>
  </si>
  <si>
    <t>（不包括标点符号和重复的文字数）+</t>
  </si>
  <si>
    <t>（计费的标点符号字数）=</t>
  </si>
  <si>
    <t>报价字数：</t>
  </si>
  <si>
    <t>95%-99%</t>
  </si>
  <si>
    <t>85%-94%</t>
  </si>
  <si>
    <t>75%-84%</t>
  </si>
  <si>
    <t>50%-74%</t>
  </si>
  <si>
    <t>一致しない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</si>
</sst>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yyyy/m/d;@"/>
    <numFmt numFmtId="178" formatCode="0.00_ "/>
    <numFmt numFmtId="179" formatCode="yyyy&quot;年&quot;m&quot;月&quot;d&quot;日&quot;;@"/>
    <numFmt numFmtId="180" formatCode="[DBNum2][$-411]General"/>
    <numFmt numFmtId="181" formatCode="[DBNum2][$-804]General"/>
  </numFmts>
  <fonts count="37">
    <font>
      <sz val="11"/>
      <color theme="1"/>
      <name val="等线"/>
      <charset val="134"/>
      <scheme val="minor"/>
    </font>
    <font>
      <b/>
      <sz val="10"/>
      <color rgb="FF000000"/>
      <name val="MS Gothic"/>
      <charset val="134"/>
    </font>
    <font>
      <b/>
      <sz val="10"/>
      <color theme="1"/>
      <name val="Arial"/>
      <charset val="134"/>
    </font>
    <font>
      <sz val="10"/>
      <color theme="1" tint="0.349986266670736"/>
      <name val="微软雅黑"/>
      <charset val="134"/>
    </font>
    <font>
      <sz val="10"/>
      <color theme="1"/>
      <name val="Arial"/>
      <charset val="134"/>
    </font>
    <font>
      <sz val="11"/>
      <color theme="1"/>
      <name val="微软雅黑"/>
      <charset val="134"/>
    </font>
    <font>
      <b/>
      <sz val="11"/>
      <color rgb="FF0070C0"/>
      <name val="微软雅黑"/>
      <charset val="134"/>
    </font>
    <font>
      <b/>
      <sz val="18"/>
      <color theme="0"/>
      <name val="微软雅黑"/>
      <charset val="134"/>
    </font>
    <font>
      <sz val="11"/>
      <name val="微软雅黑"/>
      <charset val="134"/>
    </font>
    <font>
      <b/>
      <sz val="22"/>
      <color rgb="FF0085B4"/>
      <name val="微软雅黑"/>
      <charset val="134"/>
    </font>
    <font>
      <b/>
      <sz val="14"/>
      <color rgb="FF0085B4"/>
      <name val="微软雅黑"/>
      <charset val="134"/>
    </font>
    <font>
      <b/>
      <sz val="16"/>
      <color rgb="FF0085B4"/>
      <name val="微软雅黑"/>
      <charset val="134"/>
    </font>
    <font>
      <b/>
      <sz val="12"/>
      <color rgb="FF0085B4"/>
      <name val="微软雅黑"/>
      <charset val="134"/>
    </font>
    <font>
      <b/>
      <sz val="13"/>
      <color rgb="FF0085B4"/>
      <name val="微软雅黑"/>
      <charset val="134"/>
    </font>
    <font>
      <b/>
      <sz val="10"/>
      <color rgb="FF0085B4"/>
      <name val="微软雅黑"/>
      <charset val="134"/>
    </font>
    <font>
      <sz val="10"/>
      <color theme="1" tint="0.249977111117893"/>
      <name val="微软雅黑"/>
      <charset val="134"/>
    </font>
    <font>
      <sz val="11"/>
      <color theme="0"/>
      <name val="微软雅黑"/>
      <charset val="134"/>
    </font>
    <font>
      <b/>
      <sz val="16"/>
      <color theme="1" tint="0.349986266670736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8C6CF"/>
        <bgColor indexed="64"/>
      </patternFill>
    </fill>
    <fill>
      <patternFill patternType="solid">
        <fgColor rgb="FFF0F0FF"/>
        <bgColor indexed="64"/>
      </patternFill>
    </fill>
    <fill>
      <patternFill patternType="solid">
        <fgColor rgb="FFF7F7FF"/>
        <bgColor indexed="64"/>
      </patternFill>
    </fill>
    <fill>
      <patternFill patternType="solid">
        <fgColor rgb="FF0085B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 style="medium">
        <color rgb="FF0085B4"/>
      </right>
      <top/>
      <bottom/>
      <diagonal/>
    </border>
    <border>
      <left/>
      <right/>
      <top/>
      <bottom style="medium">
        <color rgb="FF0085B4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/>
      <right/>
      <top style="thin">
        <color rgb="FF0085B4"/>
      </top>
      <bottom style="thin">
        <color rgb="FF0085B4"/>
      </bottom>
      <diagonal/>
    </border>
    <border>
      <left/>
      <right style="thin">
        <color rgb="FF0085B4"/>
      </right>
      <top style="thin">
        <color rgb="FF0085B4"/>
      </top>
      <bottom style="thin">
        <color rgb="FF0085B4"/>
      </bottom>
      <diagonal/>
    </border>
    <border>
      <left/>
      <right/>
      <top style="thin">
        <color rgb="FF0085B4"/>
      </top>
      <bottom/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7" borderId="13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14">
      <alignment vertical="center"/>
    </xf>
    <xf numFmtId="0" fontId="24" fillId="0" borderId="14">
      <alignment vertical="center"/>
    </xf>
    <xf numFmtId="0" fontId="25" fillId="0" borderId="15">
      <alignment vertical="center"/>
    </xf>
    <xf numFmtId="0" fontId="25" fillId="0" borderId="0">
      <alignment vertical="center"/>
    </xf>
    <xf numFmtId="0" fontId="26" fillId="8" borderId="16">
      <alignment vertical="center"/>
    </xf>
    <xf numFmtId="0" fontId="27" fillId="9" borderId="17">
      <alignment vertical="center"/>
    </xf>
    <xf numFmtId="0" fontId="28" fillId="9" borderId="16">
      <alignment vertical="center"/>
    </xf>
    <xf numFmtId="0" fontId="29" fillId="10" borderId="18">
      <alignment vertical="center"/>
    </xf>
    <xf numFmtId="0" fontId="30" fillId="0" borderId="19">
      <alignment vertical="center"/>
    </xf>
    <xf numFmtId="0" fontId="31" fillId="0" borderId="20">
      <alignment vertical="center"/>
    </xf>
    <xf numFmtId="0" fontId="32" fillId="11" borderId="0">
      <alignment vertical="center"/>
    </xf>
    <xf numFmtId="0" fontId="33" fillId="12" borderId="0">
      <alignment vertical="center"/>
    </xf>
    <xf numFmtId="0" fontId="34" fillId="13" borderId="0">
      <alignment vertical="center"/>
    </xf>
    <xf numFmtId="0" fontId="35" fillId="14" borderId="0">
      <alignment vertical="center"/>
    </xf>
    <xf numFmtId="0" fontId="36" fillId="15" borderId="0">
      <alignment vertical="center"/>
    </xf>
    <xf numFmtId="0" fontId="36" fillId="16" borderId="0">
      <alignment vertical="center"/>
    </xf>
    <xf numFmtId="0" fontId="35" fillId="17" borderId="0">
      <alignment vertical="center"/>
    </xf>
    <xf numFmtId="0" fontId="35" fillId="18" borderId="0">
      <alignment vertical="center"/>
    </xf>
    <xf numFmtId="0" fontId="36" fillId="19" borderId="0">
      <alignment vertical="center"/>
    </xf>
    <xf numFmtId="0" fontId="36" fillId="20" borderId="0">
      <alignment vertical="center"/>
    </xf>
    <xf numFmtId="0" fontId="35" fillId="21" borderId="0">
      <alignment vertical="center"/>
    </xf>
    <xf numFmtId="0" fontId="35" fillId="22" borderId="0">
      <alignment vertical="center"/>
    </xf>
    <xf numFmtId="0" fontId="36" fillId="23" borderId="0">
      <alignment vertical="center"/>
    </xf>
    <xf numFmtId="0" fontId="36" fillId="24" borderId="0">
      <alignment vertical="center"/>
    </xf>
    <xf numFmtId="0" fontId="35" fillId="25" borderId="0">
      <alignment vertical="center"/>
    </xf>
    <xf numFmtId="0" fontId="35" fillId="26" borderId="0">
      <alignment vertical="center"/>
    </xf>
    <xf numFmtId="0" fontId="36" fillId="27" borderId="0">
      <alignment vertical="center"/>
    </xf>
    <xf numFmtId="0" fontId="36" fillId="28" borderId="0">
      <alignment vertical="center"/>
    </xf>
    <xf numFmtId="0" fontId="35" fillId="29" borderId="0">
      <alignment vertical="center"/>
    </xf>
    <xf numFmtId="0" fontId="35" fillId="30" borderId="0">
      <alignment vertical="center"/>
    </xf>
    <xf numFmtId="0" fontId="36" fillId="31" borderId="0">
      <alignment vertical="center"/>
    </xf>
    <xf numFmtId="0" fontId="36" fillId="32" borderId="0">
      <alignment vertical="center"/>
    </xf>
    <xf numFmtId="0" fontId="35" fillId="33" borderId="0">
      <alignment vertical="center"/>
    </xf>
    <xf numFmtId="0" fontId="35" fillId="34" borderId="0">
      <alignment vertical="center"/>
    </xf>
    <xf numFmtId="0" fontId="36" fillId="35" borderId="0">
      <alignment vertical="center"/>
    </xf>
    <xf numFmtId="0" fontId="36" fillId="36" borderId="0">
      <alignment vertical="center"/>
    </xf>
    <xf numFmtId="0" fontId="35" fillId="37" borderId="0">
      <alignment vertical="center"/>
    </xf>
    <xf numFmtId="0" fontId="0" fillId="0" borderId="0"/>
  </cellStyleXfs>
  <cellXfs count="69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176" fontId="3" fillId="0" borderId="0" xfId="0" applyNumberFormat="1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right" vertical="center" wrapText="1"/>
    </xf>
    <xf numFmtId="9" fontId="4" fillId="4" borderId="0" xfId="0" applyNumberFormat="1" applyFont="1" applyFill="1" applyAlignment="1">
      <alignment horizontal="left" vertical="center" wrapText="1"/>
    </xf>
    <xf numFmtId="9" fontId="4" fillId="3" borderId="0" xfId="0" applyNumberFormat="1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8" fillId="0" borderId="0" xfId="49" applyFont="1"/>
    <xf numFmtId="0" fontId="8" fillId="0" borderId="0" xfId="49" applyFont="1" applyAlignment="1">
      <alignment horizontal="center"/>
    </xf>
    <xf numFmtId="0" fontId="9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14" fillId="6" borderId="7" xfId="0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14" fillId="6" borderId="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2" fontId="15" fillId="0" borderId="7" xfId="0" applyNumberFormat="1" applyFont="1" applyBorder="1" applyAlignment="1">
      <alignment horizontal="center" vertical="center"/>
    </xf>
    <xf numFmtId="9" fontId="15" fillId="0" borderId="7" xfId="3" applyFont="1" applyBorder="1" applyAlignment="1">
      <alignment horizontal="center" vertical="center"/>
    </xf>
    <xf numFmtId="178" fontId="1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5" fillId="0" borderId="0" xfId="3" applyFon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top" wrapText="1"/>
    </xf>
    <xf numFmtId="179" fontId="5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vertical="top" wrapText="1"/>
    </xf>
    <xf numFmtId="176" fontId="3" fillId="0" borderId="0" xfId="0" applyNumberFormat="1" applyFont="1" applyAlignment="1">
      <alignment vertical="top" wrapText="1"/>
    </xf>
    <xf numFmtId="20" fontId="3" fillId="0" borderId="0" xfId="0" applyNumberFormat="1" applyFont="1" applyAlignment="1">
      <alignment vertical="top" wrapText="1"/>
    </xf>
    <xf numFmtId="0" fontId="16" fillId="0" borderId="0" xfId="0" applyFont="1" applyAlignment="1">
      <alignment horizontal="center" vertical="center"/>
    </xf>
    <xf numFmtId="176" fontId="3" fillId="0" borderId="10" xfId="0" applyNumberFormat="1" applyFont="1" applyBorder="1" applyAlignment="1">
      <alignment horizontal="left" vertical="center" wrapText="1"/>
    </xf>
    <xf numFmtId="0" fontId="0" fillId="0" borderId="10" xfId="0" applyBorder="1" applyAlignment="1"/>
    <xf numFmtId="0" fontId="16" fillId="0" borderId="0" xfId="0" applyFont="1" applyAlignment="1">
      <alignment vertical="center"/>
    </xf>
    <xf numFmtId="176" fontId="3" fillId="0" borderId="0" xfId="0" applyNumberFormat="1" applyFont="1" applyAlignment="1">
      <alignment horizontal="left" vertical="top" wrapText="1"/>
    </xf>
    <xf numFmtId="180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81" fontId="5" fillId="0" borderId="0" xfId="0" applyNumberFormat="1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738505</xdr:colOff>
      <xdr:row>25</xdr:row>
      <xdr:rowOff>466725</xdr:rowOff>
    </xdr:from>
    <xdr:to>
      <xdr:col>10</xdr:col>
      <xdr:colOff>609076</xdr:colOff>
      <xdr:row>30</xdr:row>
      <xdr:rowOff>108314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749800" y="5932170"/>
          <a:ext cx="1299210" cy="10604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6"/>
  <sheetViews>
    <sheetView showGridLines="0" tabSelected="1" workbookViewId="0">
      <selection activeCell="P26" sqref="P26"/>
    </sheetView>
  </sheetViews>
  <sheetFormatPr defaultColWidth="9" defaultRowHeight="16.5"/>
  <cols>
    <col min="1" max="1" width="1.26666666666667" style="12" customWidth="1"/>
    <col min="2" max="2" width="1.13333333333333" style="12" customWidth="1"/>
    <col min="3" max="3" width="7.26666666666667" style="12" customWidth="1"/>
    <col min="4" max="4" width="4" style="12" customWidth="1"/>
    <col min="5" max="5" width="12.6" style="12" customWidth="1"/>
    <col min="6" max="6" width="8.5" style="12" customWidth="1"/>
    <col min="7" max="7" width="8" style="12" customWidth="1"/>
    <col min="8" max="8" width="9.875" style="12" customWidth="1"/>
    <col min="9" max="9" width="10.75" style="12" customWidth="1"/>
    <col min="10" max="10" width="8" style="12" customWidth="1"/>
    <col min="11" max="11" width="11" style="12" customWidth="1"/>
    <col min="12" max="12" width="2.375" style="12" customWidth="1"/>
    <col min="13" max="13" width="13.2666666666667" style="12" customWidth="1"/>
    <col min="14" max="14" width="9" style="12" customWidth="1"/>
    <col min="15" max="15" width="9.6" style="12" customWidth="1"/>
    <col min="16" max="16384" width="9" style="12" customWidth="1"/>
  </cols>
  <sheetData>
    <row r="1" s="12" customFormat="1" ht="8.25" customHeight="1"/>
    <row r="2" ht="3.75" customHeight="1" spans="2:12">
      <c r="B2" s="15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="13" customFormat="1" ht="19.5" customHeight="1" spans="2:12">
      <c r="B3" s="18"/>
      <c r="C3" s="19" t="s">
        <v>0</v>
      </c>
      <c r="L3" s="20"/>
    </row>
    <row r="4" s="13" customFormat="1" ht="19.5" customHeight="1" spans="2:12">
      <c r="B4" s="18"/>
      <c r="L4" s="20"/>
    </row>
    <row r="5" s="13" customFormat="1" ht="18" customHeight="1" spans="2:12">
      <c r="B5" s="18"/>
      <c r="C5" s="21"/>
      <c r="D5" s="22"/>
      <c r="E5" s="22"/>
      <c r="F5" s="23"/>
      <c r="G5" s="23"/>
      <c r="H5" s="23"/>
      <c r="I5" s="23"/>
      <c r="J5" s="23"/>
      <c r="K5" s="23"/>
      <c r="L5" s="20"/>
    </row>
    <row r="6" s="13" customFormat="1" ht="18" customHeight="1" spans="2:12">
      <c r="B6" s="18"/>
      <c r="C6" s="24" t="s">
        <v>1</v>
      </c>
      <c r="D6" s="25"/>
      <c r="E6" s="25"/>
      <c r="F6" s="26"/>
      <c r="G6" s="26"/>
      <c r="H6" s="26"/>
      <c r="I6" s="26"/>
      <c r="J6" s="26"/>
      <c r="K6" s="26"/>
      <c r="L6" s="20"/>
    </row>
    <row r="7" s="13" customFormat="1" ht="18" customHeight="1" spans="2:12">
      <c r="B7" s="18"/>
      <c r="C7" s="27" t="s">
        <v>2</v>
      </c>
      <c r="D7" s="28"/>
      <c r="E7" s="29" t="str">
        <f>TEXT(I7,"YYYYMMDD")</f>
        <v>20260414</v>
      </c>
      <c r="F7" s="23"/>
      <c r="G7" s="23"/>
      <c r="H7" s="27" t="s">
        <v>3</v>
      </c>
      <c r="I7" s="30">
        <v>46126</v>
      </c>
      <c r="J7" s="29"/>
      <c r="K7" s="23"/>
      <c r="L7" s="20"/>
    </row>
    <row r="8" s="13" customFormat="1" ht="9" customHeight="1" spans="2:12">
      <c r="B8" s="18"/>
      <c r="C8" s="23"/>
      <c r="D8" s="23"/>
      <c r="E8" s="23"/>
      <c r="F8" s="23"/>
      <c r="G8" s="23"/>
      <c r="H8" s="23"/>
      <c r="I8" s="23"/>
      <c r="J8" s="23"/>
      <c r="K8" s="23"/>
      <c r="L8" s="20"/>
    </row>
    <row r="9" ht="32.1" customHeight="1" spans="2:12">
      <c r="B9" s="31"/>
      <c r="C9" s="32" t="s">
        <v>4</v>
      </c>
      <c r="D9" s="33"/>
      <c r="E9" s="34"/>
      <c r="F9" s="35" t="s">
        <v>5</v>
      </c>
      <c r="G9" s="35" t="s">
        <v>6</v>
      </c>
      <c r="H9" s="35" t="s">
        <v>7</v>
      </c>
      <c r="I9" s="35" t="s">
        <v>8</v>
      </c>
      <c r="J9" s="32" t="s">
        <v>9</v>
      </c>
      <c r="K9" s="35" t="s">
        <v>10</v>
      </c>
      <c r="L9" s="36"/>
    </row>
    <row r="10" s="14" customFormat="1" spans="2:12">
      <c r="B10" s="37"/>
      <c r="C10" s="38"/>
      <c r="D10" s="33"/>
      <c r="E10" s="34"/>
      <c r="F10" s="39">
        <f>【字数统计】!S6</f>
        <v>0</v>
      </c>
      <c r="G10" s="39"/>
      <c r="H10" s="39"/>
      <c r="I10" s="40">
        <f>K10/1.06</f>
        <v>0</v>
      </c>
      <c r="J10" s="41">
        <v>0.06</v>
      </c>
      <c r="K10" s="42">
        <f>H10*F10</f>
        <v>0</v>
      </c>
      <c r="L10" s="43"/>
    </row>
    <row r="11" s="14" customFormat="1" spans="2:12">
      <c r="B11" s="37"/>
      <c r="C11" s="38"/>
      <c r="D11" s="33"/>
      <c r="E11" s="34"/>
      <c r="F11" s="39"/>
      <c r="G11" s="39"/>
      <c r="H11" s="39"/>
      <c r="I11" s="40"/>
      <c r="J11" s="41"/>
      <c r="K11" s="42"/>
      <c r="L11" s="43"/>
    </row>
    <row r="12" s="14" customFormat="1" ht="14.25" customHeight="1" spans="2:12">
      <c r="B12" s="37"/>
      <c r="C12" s="38"/>
      <c r="D12" s="33"/>
      <c r="E12" s="34"/>
      <c r="F12" s="39"/>
      <c r="G12" s="39"/>
      <c r="H12" s="39"/>
      <c r="I12" s="40"/>
      <c r="J12" s="41"/>
      <c r="K12" s="42"/>
      <c r="L12" s="43"/>
    </row>
    <row r="13" s="14" customFormat="1" ht="14.25" customHeight="1" spans="2:12">
      <c r="B13" s="37"/>
      <c r="C13" s="38"/>
      <c r="D13" s="33"/>
      <c r="E13" s="34"/>
      <c r="F13" s="39"/>
      <c r="G13" s="39"/>
      <c r="H13" s="39"/>
      <c r="I13" s="40"/>
      <c r="J13" s="41"/>
      <c r="K13" s="42"/>
      <c r="L13" s="43"/>
    </row>
    <row r="14" s="14" customFormat="1" ht="14.25" customHeight="1" spans="2:12">
      <c r="B14" s="37"/>
      <c r="C14" s="38"/>
      <c r="D14" s="33"/>
      <c r="E14" s="34"/>
      <c r="F14" s="39"/>
      <c r="G14" s="39"/>
      <c r="H14" s="39"/>
      <c r="I14" s="40"/>
      <c r="J14" s="41"/>
      <c r="K14" s="42"/>
      <c r="L14" s="43"/>
    </row>
    <row r="15" s="14" customFormat="1" ht="14.25" customHeight="1" spans="2:12">
      <c r="B15" s="37"/>
      <c r="C15" s="38"/>
      <c r="D15" s="33"/>
      <c r="E15" s="34"/>
      <c r="F15" s="39"/>
      <c r="G15" s="39"/>
      <c r="H15" s="39"/>
      <c r="I15" s="40"/>
      <c r="J15" s="41"/>
      <c r="K15" s="42"/>
      <c r="L15" s="43"/>
    </row>
    <row r="16" s="14" customFormat="1" ht="14.25" customHeight="1" spans="2:12">
      <c r="B16" s="37"/>
      <c r="C16" s="38" t="s">
        <v>11</v>
      </c>
      <c r="D16" s="33"/>
      <c r="E16" s="34"/>
      <c r="F16" s="39">
        <f>SUM(F10:F15)</f>
        <v>0</v>
      </c>
      <c r="G16" s="39"/>
      <c r="H16" s="39"/>
      <c r="I16" s="40">
        <f>SUM(I10:I15)</f>
        <v>0</v>
      </c>
      <c r="J16" s="41"/>
      <c r="K16" s="42">
        <f>SUM(K10:K15)</f>
        <v>0</v>
      </c>
      <c r="L16" s="43"/>
    </row>
    <row r="17" s="14" customFormat="1" ht="20.1" customHeight="1" spans="2:18">
      <c r="B17" s="37"/>
      <c r="C17" s="44"/>
      <c r="D17" s="44"/>
      <c r="E17" s="44"/>
      <c r="F17" s="45"/>
      <c r="G17" s="45"/>
      <c r="H17" s="45"/>
      <c r="I17" s="46"/>
      <c r="J17" s="47"/>
      <c r="K17" s="48"/>
      <c r="L17" s="43"/>
    </row>
    <row r="18" s="14" customFormat="1" ht="20.1" customHeight="1" spans="2:18">
      <c r="B18" s="37"/>
      <c r="C18" s="5" t="s">
        <v>12</v>
      </c>
      <c r="L18" s="43"/>
    </row>
    <row r="19" s="14" customFormat="1" ht="20.1" customHeight="1" spans="2:18">
      <c r="B19" s="37"/>
      <c r="C19" s="49">
        <v>46127</v>
      </c>
      <c r="D19" s="50"/>
      <c r="E19" s="50"/>
      <c r="F19" s="51"/>
      <c r="G19" s="51"/>
      <c r="H19" s="52"/>
      <c r="I19" s="51"/>
      <c r="J19" s="53"/>
      <c r="K19" s="52"/>
      <c r="L19" s="43"/>
    </row>
    <row r="20" s="14" customFormat="1" ht="20.1" customHeight="1" spans="2:18">
      <c r="B20" s="37"/>
      <c r="C20" s="5"/>
      <c r="L20" s="43"/>
    </row>
    <row r="21" s="14" customFormat="1" ht="20.1" customHeight="1" spans="2:18">
      <c r="B21" s="37"/>
      <c r="C21" s="44"/>
      <c r="D21" s="44"/>
      <c r="E21" s="44"/>
      <c r="F21" s="45"/>
      <c r="G21" s="45"/>
      <c r="H21" s="45"/>
      <c r="I21" s="46"/>
      <c r="J21" s="47"/>
      <c r="K21" s="48"/>
      <c r="L21" s="43"/>
      <c r="M21" s="54"/>
      <c r="N21" s="54"/>
      <c r="O21" s="54"/>
      <c r="P21" s="54" t="e">
        <f>#REF!*#REF!</f>
        <v>#REF!</v>
      </c>
      <c r="Q21" s="54"/>
      <c r="R21" s="54"/>
    </row>
    <row r="22" ht="18.75" customHeight="1" spans="2:18">
      <c r="B22" s="31"/>
      <c r="C22" s="55"/>
      <c r="D22" s="56"/>
      <c r="E22" s="56"/>
      <c r="F22" s="56"/>
      <c r="G22" s="56"/>
      <c r="H22" s="56"/>
      <c r="I22" s="56"/>
      <c r="J22" s="56"/>
      <c r="K22" s="56"/>
      <c r="L22" s="36"/>
      <c r="M22" s="57"/>
      <c r="N22" s="57"/>
      <c r="O22" s="57"/>
      <c r="P22" s="57"/>
      <c r="Q22" s="57"/>
      <c r="R22" s="57"/>
    </row>
    <row r="23" spans="2:18">
      <c r="B23" s="31"/>
      <c r="C23" s="58"/>
      <c r="L23" s="36"/>
      <c r="M23" s="57"/>
      <c r="N23" s="57"/>
      <c r="O23" s="57"/>
      <c r="P23" s="57"/>
      <c r="Q23" s="57"/>
      <c r="R23" s="57"/>
    </row>
    <row r="24" ht="26.25" customHeight="1" spans="2:18">
      <c r="B24" s="31"/>
      <c r="D24" s="59"/>
      <c r="E24" s="59"/>
      <c r="L24" s="36"/>
      <c r="M24" s="57"/>
      <c r="N24" s="57"/>
      <c r="O24" s="57"/>
      <c r="P24" s="57"/>
      <c r="Q24" s="57"/>
      <c r="R24" s="57"/>
    </row>
    <row r="25" ht="18" customHeight="1" spans="2:18">
      <c r="B25" s="31"/>
      <c r="C25" s="24" t="s">
        <v>13</v>
      </c>
      <c r="D25" s="25"/>
      <c r="E25" s="25"/>
      <c r="F25" s="26"/>
      <c r="G25" s="26"/>
      <c r="H25" s="26"/>
      <c r="I25" s="26"/>
      <c r="J25" s="26"/>
      <c r="K25" s="26"/>
      <c r="L25" s="36"/>
      <c r="M25" s="57"/>
      <c r="N25" s="57"/>
      <c r="O25" s="57"/>
      <c r="P25" s="57"/>
      <c r="Q25" s="57"/>
      <c r="R25" s="57"/>
    </row>
    <row r="26" ht="39.75" customHeight="1" spans="2:18">
      <c r="B26" s="31"/>
      <c r="C26" s="60"/>
      <c r="D26" s="61"/>
      <c r="E26" s="61"/>
      <c r="F26" s="23"/>
      <c r="G26" s="23"/>
      <c r="H26" s="23"/>
      <c r="I26" s="23"/>
      <c r="J26" s="23"/>
      <c r="K26" s="23"/>
      <c r="L26" s="36"/>
      <c r="M26" s="57"/>
      <c r="N26" s="57"/>
      <c r="O26" s="57"/>
      <c r="P26" s="57"/>
      <c r="Q26" s="57"/>
      <c r="R26" s="57"/>
    </row>
    <row r="27" ht="18" customHeight="1" spans="2:18">
      <c r="B27" s="31"/>
      <c r="C27" s="62" t="s">
        <v>14</v>
      </c>
      <c r="E27" s="63" t="s">
        <v>15</v>
      </c>
      <c r="L27" s="36"/>
    </row>
    <row r="28" ht="18" customHeight="1" spans="2:18">
      <c r="B28" s="31"/>
      <c r="C28" s="62" t="s">
        <v>16</v>
      </c>
      <c r="E28" s="63" t="s">
        <v>17</v>
      </c>
      <c r="J28" s="64"/>
      <c r="L28" s="36"/>
    </row>
    <row r="29" ht="18" customHeight="1" spans="2:18">
      <c r="B29" s="31"/>
      <c r="C29" s="62" t="s">
        <v>18</v>
      </c>
      <c r="E29" s="63" t="s">
        <v>19</v>
      </c>
      <c r="L29" s="36"/>
    </row>
    <row r="30" ht="18" customHeight="1" spans="2:18">
      <c r="B30" s="31"/>
      <c r="C30" s="62" t="s">
        <v>20</v>
      </c>
      <c r="D30" s="64"/>
      <c r="E30" s="63">
        <v>13654287085</v>
      </c>
      <c r="F30" s="64"/>
      <c r="G30" s="64"/>
      <c r="H30" s="64"/>
      <c r="J30" s="64"/>
      <c r="K30" s="64"/>
      <c r="L30" s="36"/>
    </row>
    <row r="31" ht="18" customHeight="1" spans="2:18">
      <c r="B31" s="31"/>
      <c r="C31" s="62"/>
      <c r="D31" s="64"/>
      <c r="E31" s="63"/>
      <c r="F31" s="64"/>
      <c r="G31" s="64"/>
      <c r="H31" s="64"/>
      <c r="J31" s="64"/>
      <c r="K31" s="64"/>
      <c r="L31" s="36"/>
    </row>
    <row r="32" ht="17.25" customHeight="1" spans="2:18">
      <c r="B32" s="65"/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6" spans="6:7">
      <c r="F36" s="68"/>
      <c r="G36" s="68"/>
    </row>
  </sheetData>
  <mergeCells count="14">
    <mergeCell ref="C9:E9"/>
    <mergeCell ref="C10:E10"/>
    <mergeCell ref="C11:E11"/>
    <mergeCell ref="C12:E12"/>
    <mergeCell ref="C13:E13"/>
    <mergeCell ref="C14:E14"/>
    <mergeCell ref="C15:E15"/>
    <mergeCell ref="C16:E16"/>
    <mergeCell ref="C18:K18"/>
    <mergeCell ref="C19:E19"/>
    <mergeCell ref="C20:K20"/>
    <mergeCell ref="C22:K22"/>
    <mergeCell ref="C23:K23"/>
    <mergeCell ref="C3:K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"/>
  <sheetViews>
    <sheetView workbookViewId="0">
      <selection activeCell="A15" sqref="A15:H15"/>
    </sheetView>
  </sheetViews>
  <sheetFormatPr defaultColWidth="9" defaultRowHeight="14.25"/>
  <cols>
    <col min="11" max="11" width="99.125" style="1" customWidth="1"/>
    <col min="12" max="13" width="9" style="1" hidden="1" customWidth="1"/>
    <col min="14" max="14" width="21.375" style="1" hidden="1" customWidth="1"/>
    <col min="15" max="17" width="9" style="1" hidden="1" customWidth="1"/>
    <col min="18" max="18" width="11.25" style="1" hidden="1" customWidth="1"/>
    <col min="19" max="19" width="9" style="1" hidden="1" customWidth="1"/>
  </cols>
  <sheetData>
    <row r="1" ht="39.4" customHeight="1" spans="1:19">
      <c r="A1" s="2"/>
    </row>
    <row r="2" ht="48" customHeight="1" spans="1:19">
      <c r="A2" s="3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K2" t="s">
        <v>29</v>
      </c>
      <c r="S2" s="5"/>
    </row>
    <row r="3" ht="16.5" customHeight="1" spans="1:19">
      <c r="A3" s="6" t="s">
        <v>30</v>
      </c>
      <c r="B3" s="7"/>
      <c r="C3" s="7"/>
      <c r="D3" s="7"/>
      <c r="E3" s="7"/>
      <c r="F3" s="7"/>
      <c r="G3" s="7"/>
      <c r="H3" s="7"/>
      <c r="K3" t="str">
        <f>_xlfn.CONCAT(M3,N3,O3,P3,Q3,R3)</f>
        <v>0（不包括标点，符号的字数）-0（重复的不包括标点，符号的字数）=0（不包括标点，符号和重复内容的文字数）</v>
      </c>
      <c r="M3">
        <f>E3</f>
        <v>0</v>
      </c>
      <c r="N3" t="s">
        <v>31</v>
      </c>
      <c r="O3">
        <f>E5</f>
        <v>0</v>
      </c>
      <c r="P3" t="s">
        <v>32</v>
      </c>
      <c r="Q3">
        <f>M3-O3</f>
        <v>0</v>
      </c>
      <c r="R3" t="s">
        <v>33</v>
      </c>
      <c r="S3" s="5"/>
    </row>
    <row r="4" ht="48.75" customHeight="1" spans="1:19">
      <c r="A4" s="8" t="s">
        <v>34</v>
      </c>
      <c r="B4" s="9"/>
      <c r="C4" s="9"/>
      <c r="D4" s="9"/>
      <c r="E4" s="9"/>
      <c r="F4" s="9"/>
      <c r="G4" s="9"/>
      <c r="H4" s="9"/>
      <c r="K4" t="str">
        <f>_xlfn.CONCAT(M4,N4,O4,P4,Q4,R4)</f>
        <v>0(包括标点符号的总字数）-0（不包括标点符号的总字数）=0（标点，符号字数）</v>
      </c>
      <c r="M4">
        <f>F3</f>
        <v>0</v>
      </c>
      <c r="N4" t="s">
        <v>35</v>
      </c>
      <c r="O4">
        <f>E3</f>
        <v>0</v>
      </c>
      <c r="P4" t="s">
        <v>36</v>
      </c>
      <c r="Q4">
        <f>M4-O4</f>
        <v>0</v>
      </c>
      <c r="R4" t="s">
        <v>37</v>
      </c>
      <c r="S4" s="5"/>
    </row>
    <row r="5" ht="16.5" customHeight="1" spans="1:19">
      <c r="A5" s="6" t="s">
        <v>38</v>
      </c>
      <c r="B5" s="7"/>
      <c r="C5" s="7"/>
      <c r="D5" s="7"/>
      <c r="E5" s="7"/>
      <c r="F5" s="7"/>
      <c r="G5" s="7"/>
      <c r="H5" s="7"/>
      <c r="K5" t="str">
        <f>_xlfn.CONCAT(M5,N5,O5,P5,Q5,R5)</f>
        <v>0（标点符号字数）  ×　30% =0（计费的标点符号字数）</v>
      </c>
      <c r="M5">
        <f>Q4</f>
        <v>0</v>
      </c>
      <c r="N5" t="s">
        <v>39</v>
      </c>
      <c r="Q5">
        <f>M5*0.3</f>
        <v>0</v>
      </c>
      <c r="R5" t="s">
        <v>40</v>
      </c>
      <c r="S5" s="5"/>
    </row>
    <row r="6" ht="16.5" customHeight="1" spans="1:19">
      <c r="A6" s="10">
        <v>1.01</v>
      </c>
      <c r="B6" s="9"/>
      <c r="C6" s="9"/>
      <c r="D6" s="9"/>
      <c r="E6" s="9"/>
      <c r="F6" s="9"/>
      <c r="G6" s="9"/>
      <c r="H6" s="9"/>
      <c r="K6" t="str">
        <f>_xlfn.CONCAT(R6,M6,N6,O6,P6,Q6)</f>
        <v>报价字数：0（不包括标点符号和重复的文字数）+0（计费的标点符号字数）=0</v>
      </c>
      <c r="M6">
        <f>Q3</f>
        <v>0</v>
      </c>
      <c r="N6" t="s">
        <v>41</v>
      </c>
      <c r="O6">
        <f>Q5</f>
        <v>0</v>
      </c>
      <c r="P6" t="s">
        <v>42</v>
      </c>
      <c r="Q6">
        <f>M6+O6</f>
        <v>0</v>
      </c>
      <c r="R6" t="s">
        <v>43</v>
      </c>
      <c r="S6" s="5">
        <f>ROUND(Q6,0)</f>
        <v>0</v>
      </c>
    </row>
    <row r="7" spans="1:19">
      <c r="A7" s="11">
        <v>1</v>
      </c>
      <c r="B7" s="7"/>
      <c r="C7" s="7"/>
      <c r="D7" s="7"/>
      <c r="E7" s="7"/>
      <c r="F7" s="7"/>
      <c r="G7" s="7"/>
      <c r="H7" s="7"/>
    </row>
    <row r="8" spans="1:19">
      <c r="A8" s="8" t="s">
        <v>44</v>
      </c>
      <c r="B8" s="9"/>
      <c r="C8" s="9"/>
      <c r="D8" s="9"/>
      <c r="E8" s="9"/>
      <c r="F8" s="9"/>
      <c r="G8" s="9"/>
      <c r="H8" s="9"/>
    </row>
    <row r="9" spans="1:19">
      <c r="A9" s="6" t="s">
        <v>45</v>
      </c>
      <c r="B9" s="7"/>
      <c r="C9" s="7"/>
      <c r="D9" s="7"/>
      <c r="E9" s="7"/>
      <c r="F9" s="7"/>
      <c r="G9" s="7"/>
      <c r="H9" s="7"/>
    </row>
    <row r="10" spans="1:19">
      <c r="A10" s="8" t="s">
        <v>46</v>
      </c>
      <c r="B10" s="9"/>
      <c r="C10" s="9"/>
      <c r="D10" s="9"/>
      <c r="E10" s="9"/>
      <c r="F10" s="9"/>
      <c r="G10" s="9"/>
      <c r="H10" s="9"/>
    </row>
    <row r="11" spans="1:19">
      <c r="A11" s="6" t="s">
        <v>47</v>
      </c>
      <c r="B11" s="7"/>
      <c r="C11" s="7"/>
      <c r="D11" s="7"/>
      <c r="E11" s="7"/>
      <c r="F11" s="7"/>
      <c r="G11" s="7"/>
      <c r="H11" s="7"/>
    </row>
    <row r="12" ht="24" customHeight="1" spans="1:19">
      <c r="A12" s="8" t="s">
        <v>48</v>
      </c>
      <c r="B12" s="9"/>
      <c r="C12" s="9"/>
      <c r="D12" s="9"/>
      <c r="E12" s="9"/>
      <c r="F12" s="9"/>
      <c r="G12" s="9"/>
      <c r="H12" s="9"/>
    </row>
    <row r="15" ht="39.4" customHeight="1" spans="1:19">
      <c r="A15" s="2"/>
    </row>
    <row r="16" ht="48" customHeight="1" spans="1:19">
      <c r="A16" s="3" t="s">
        <v>21</v>
      </c>
      <c r="B16" s="4" t="s">
        <v>22</v>
      </c>
      <c r="C16" s="4" t="s">
        <v>23</v>
      </c>
      <c r="D16" s="4" t="s">
        <v>24</v>
      </c>
      <c r="E16" s="4" t="s">
        <v>25</v>
      </c>
      <c r="F16" s="4" t="s">
        <v>26</v>
      </c>
      <c r="G16" s="4" t="s">
        <v>27</v>
      </c>
      <c r="H16" s="4" t="s">
        <v>28</v>
      </c>
      <c r="K16" t="s">
        <v>29</v>
      </c>
      <c r="S16" s="5"/>
    </row>
    <row r="17" ht="16.5" customHeight="1" spans="1:19">
      <c r="A17" s="6" t="s">
        <v>30</v>
      </c>
      <c r="B17" s="7"/>
      <c r="C17" s="7"/>
      <c r="D17" s="7"/>
      <c r="E17" s="7"/>
      <c r="F17" s="7"/>
      <c r="G17" s="7"/>
      <c r="H17" s="7"/>
      <c r="K17" t="str">
        <f>_xlfn.CONCAT(M17,N17,O17,P17,Q17,R17)</f>
        <v>0（不包括标点，符号的字数）-0（重复的不包括标点，符号的字数）=0（不包括标点，符号和重复内容的文字数）</v>
      </c>
      <c r="M17">
        <f>E17</f>
        <v>0</v>
      </c>
      <c r="N17" t="s">
        <v>31</v>
      </c>
      <c r="O17">
        <f>E19</f>
        <v>0</v>
      </c>
      <c r="P17" t="s">
        <v>32</v>
      </c>
      <c r="Q17">
        <f>M17-O17</f>
        <v>0</v>
      </c>
      <c r="R17" t="s">
        <v>33</v>
      </c>
      <c r="S17" s="5"/>
    </row>
    <row r="18" ht="48.75" customHeight="1" spans="1:19">
      <c r="A18" s="8" t="s">
        <v>34</v>
      </c>
      <c r="B18" s="9"/>
      <c r="C18" s="9"/>
      <c r="D18" s="9"/>
      <c r="E18" s="9"/>
      <c r="F18" s="9"/>
      <c r="G18" s="9"/>
      <c r="H18" s="9"/>
      <c r="K18" t="str">
        <f>_xlfn.CONCAT(M18,N18,O18,P18,Q18,R18)</f>
        <v>0(包括标点符号的总字数）-0（不包括标点符号的总字数）=0（标点，符号字数）</v>
      </c>
      <c r="M18">
        <f>F17</f>
        <v>0</v>
      </c>
      <c r="N18" t="s">
        <v>35</v>
      </c>
      <c r="O18">
        <f>E17</f>
        <v>0</v>
      </c>
      <c r="P18" t="s">
        <v>36</v>
      </c>
      <c r="Q18">
        <f>M18-O18</f>
        <v>0</v>
      </c>
      <c r="R18" t="s">
        <v>37</v>
      </c>
      <c r="S18" s="5"/>
    </row>
    <row r="19" ht="16.5" customHeight="1" spans="1:19">
      <c r="A19" s="6" t="s">
        <v>38</v>
      </c>
      <c r="B19" s="7"/>
      <c r="C19" s="7"/>
      <c r="D19" s="7"/>
      <c r="E19" s="7"/>
      <c r="F19" s="7"/>
      <c r="G19" s="7"/>
      <c r="H19" s="7"/>
      <c r="K19" t="str">
        <f>_xlfn.CONCAT(M19,N19,O19,P19,Q19,R19)</f>
        <v>0（标点符号字数）  ×　30% =0（计费的标点符号字数）</v>
      </c>
      <c r="M19">
        <f>Q18</f>
        <v>0</v>
      </c>
      <c r="N19" t="s">
        <v>39</v>
      </c>
      <c r="Q19">
        <f>M19*0.3</f>
        <v>0</v>
      </c>
      <c r="R19" t="s">
        <v>40</v>
      </c>
      <c r="S19" s="5"/>
    </row>
    <row r="20" ht="16.5" customHeight="1" spans="1:19">
      <c r="A20" s="10">
        <v>1.01</v>
      </c>
      <c r="B20" s="9"/>
      <c r="C20" s="9"/>
      <c r="D20" s="9"/>
      <c r="E20" s="9"/>
      <c r="F20" s="9"/>
      <c r="G20" s="9"/>
      <c r="H20" s="9"/>
      <c r="K20" t="str">
        <f>_xlfn.CONCAT(R20,M20,N20,O20,P20,Q20)</f>
        <v>报价字数：0（不包括标点符号和重复的文字数）+0（计费的标点符号字数）=0</v>
      </c>
      <c r="M20">
        <f>Q17</f>
        <v>0</v>
      </c>
      <c r="N20" t="s">
        <v>41</v>
      </c>
      <c r="O20">
        <f>Q19</f>
        <v>0</v>
      </c>
      <c r="P20" t="s">
        <v>42</v>
      </c>
      <c r="Q20">
        <f>M20+O20</f>
        <v>0</v>
      </c>
      <c r="R20" t="s">
        <v>43</v>
      </c>
      <c r="S20" s="5">
        <f>ROUND(Q20,0)</f>
        <v>0</v>
      </c>
    </row>
    <row r="21" spans="1:19">
      <c r="A21" s="11">
        <v>1</v>
      </c>
      <c r="B21" s="7"/>
      <c r="C21" s="7"/>
      <c r="D21" s="7"/>
      <c r="E21" s="7"/>
      <c r="F21" s="7"/>
      <c r="G21" s="7"/>
      <c r="H21" s="7"/>
    </row>
    <row r="22" spans="1:19">
      <c r="A22" s="8" t="s">
        <v>44</v>
      </c>
      <c r="B22" s="9"/>
      <c r="C22" s="9"/>
      <c r="D22" s="9"/>
      <c r="E22" s="9"/>
      <c r="F22" s="9"/>
      <c r="G22" s="9"/>
      <c r="H22" s="9"/>
    </row>
    <row r="23" spans="1:19">
      <c r="A23" s="6" t="s">
        <v>45</v>
      </c>
      <c r="B23" s="7"/>
      <c r="C23" s="7"/>
      <c r="D23" s="7"/>
      <c r="E23" s="7"/>
      <c r="F23" s="7"/>
      <c r="G23" s="7"/>
      <c r="H23" s="7"/>
    </row>
    <row r="24" spans="1:19">
      <c r="A24" s="8" t="s">
        <v>46</v>
      </c>
      <c r="B24" s="9"/>
      <c r="C24" s="9"/>
      <c r="D24" s="9"/>
      <c r="E24" s="9"/>
      <c r="F24" s="9"/>
      <c r="G24" s="9"/>
      <c r="H24" s="9"/>
    </row>
    <row r="25" spans="1:19">
      <c r="A25" s="6" t="s">
        <v>47</v>
      </c>
      <c r="B25" s="7"/>
      <c r="C25" s="7"/>
      <c r="D25" s="7"/>
      <c r="E25" s="7"/>
      <c r="F25" s="7"/>
      <c r="G25" s="7"/>
      <c r="H25" s="7"/>
    </row>
    <row r="26" ht="24" customHeight="1" spans="1:19">
      <c r="A26" s="8" t="s">
        <v>48</v>
      </c>
      <c r="B26" s="9"/>
      <c r="C26" s="9"/>
      <c r="D26" s="9"/>
      <c r="E26" s="9"/>
      <c r="F26" s="9"/>
      <c r="G26" s="9"/>
      <c r="H26" s="9"/>
    </row>
    <row r="29" ht="39.4" customHeight="1" spans="1:19">
      <c r="A29" s="2"/>
    </row>
    <row r="30" ht="48" customHeight="1" spans="1:19">
      <c r="A30" s="3" t="s">
        <v>21</v>
      </c>
      <c r="B30" s="4" t="s">
        <v>22</v>
      </c>
      <c r="C30" s="4" t="s">
        <v>23</v>
      </c>
      <c r="D30" s="4" t="s">
        <v>24</v>
      </c>
      <c r="E30" s="4" t="s">
        <v>25</v>
      </c>
      <c r="F30" s="4" t="s">
        <v>26</v>
      </c>
      <c r="G30" s="4" t="s">
        <v>27</v>
      </c>
      <c r="H30" s="4" t="s">
        <v>28</v>
      </c>
      <c r="K30" t="s">
        <v>29</v>
      </c>
      <c r="S30" s="5"/>
    </row>
    <row r="31" ht="16.5" customHeight="1" spans="1:19">
      <c r="A31" s="6" t="s">
        <v>30</v>
      </c>
      <c r="B31" s="7"/>
      <c r="C31" s="7"/>
      <c r="D31" s="7"/>
      <c r="E31" s="7"/>
      <c r="F31" s="7"/>
      <c r="G31" s="7"/>
      <c r="H31" s="7"/>
      <c r="K31" t="str">
        <f>_xlfn.CONCAT(M31,N31,O31,P31,Q31,R31)</f>
        <v>0（不包括标点，符号的字数）-0（重复的不包括标点，符号的字数）=0（不包括标点，符号和重复内容的文字数）</v>
      </c>
      <c r="M31">
        <f>E31</f>
        <v>0</v>
      </c>
      <c r="N31" t="s">
        <v>31</v>
      </c>
      <c r="O31">
        <f>E33</f>
        <v>0</v>
      </c>
      <c r="P31" t="s">
        <v>32</v>
      </c>
      <c r="Q31">
        <f>M31-O31</f>
        <v>0</v>
      </c>
      <c r="R31" t="s">
        <v>33</v>
      </c>
      <c r="S31" s="5"/>
    </row>
    <row r="32" ht="48.75" customHeight="1" spans="1:19">
      <c r="A32" s="8" t="s">
        <v>34</v>
      </c>
      <c r="B32" s="9"/>
      <c r="C32" s="9"/>
      <c r="D32" s="9"/>
      <c r="E32" s="9"/>
      <c r="F32" s="9"/>
      <c r="G32" s="9"/>
      <c r="H32" s="9"/>
      <c r="K32" t="str">
        <f>_xlfn.CONCAT(M32,N32,O32,P32,Q32,R32)</f>
        <v>0(包括标点符号的总字数）-0（不包括标点符号的总字数）=0（标点，符号字数）</v>
      </c>
      <c r="M32">
        <f>F31</f>
        <v>0</v>
      </c>
      <c r="N32" t="s">
        <v>35</v>
      </c>
      <c r="O32">
        <f>E31</f>
        <v>0</v>
      </c>
      <c r="P32" t="s">
        <v>36</v>
      </c>
      <c r="Q32">
        <f>M32-O32</f>
        <v>0</v>
      </c>
      <c r="R32" t="s">
        <v>37</v>
      </c>
      <c r="S32" s="5"/>
    </row>
    <row r="33" ht="16.5" customHeight="1" spans="1:19">
      <c r="A33" s="6" t="s">
        <v>38</v>
      </c>
      <c r="B33" s="7"/>
      <c r="C33" s="7"/>
      <c r="D33" s="7"/>
      <c r="E33" s="7"/>
      <c r="F33" s="7"/>
      <c r="G33" s="7"/>
      <c r="H33" s="7"/>
      <c r="K33" t="str">
        <f>_xlfn.CONCAT(M33,N33,O33,P33,Q33,R33)</f>
        <v>0（标点符号字数）  ×　30% =0（计费的标点符号字数）</v>
      </c>
      <c r="M33">
        <f>Q32</f>
        <v>0</v>
      </c>
      <c r="N33" t="s">
        <v>39</v>
      </c>
      <c r="Q33">
        <f>M33*0.3</f>
        <v>0</v>
      </c>
      <c r="R33" t="s">
        <v>40</v>
      </c>
      <c r="S33" s="5"/>
    </row>
    <row r="34" ht="16.5" customHeight="1" spans="1:19">
      <c r="A34" s="10">
        <v>1.01</v>
      </c>
      <c r="B34" s="9"/>
      <c r="C34" s="9"/>
      <c r="D34" s="9"/>
      <c r="E34" s="9"/>
      <c r="F34" s="9"/>
      <c r="G34" s="9"/>
      <c r="H34" s="9"/>
      <c r="K34" t="str">
        <f>_xlfn.CONCAT(R34,M34,N34,O34,P34,Q34)</f>
        <v>报价字数：0（不包括标点符号和重复的文字数）+0（计费的标点符号字数）=0</v>
      </c>
      <c r="M34">
        <f>Q31</f>
        <v>0</v>
      </c>
      <c r="N34" t="s">
        <v>41</v>
      </c>
      <c r="O34">
        <f>Q33</f>
        <v>0</v>
      </c>
      <c r="P34" t="s">
        <v>42</v>
      </c>
      <c r="Q34">
        <f>M34+O34</f>
        <v>0</v>
      </c>
      <c r="R34" t="s">
        <v>43</v>
      </c>
      <c r="S34" s="5">
        <f>ROUND(Q34,0)</f>
        <v>0</v>
      </c>
    </row>
    <row r="35" spans="1:19">
      <c r="A35" s="11">
        <v>1</v>
      </c>
      <c r="B35" s="7"/>
      <c r="C35" s="7"/>
      <c r="D35" s="7"/>
      <c r="E35" s="7"/>
      <c r="F35" s="7"/>
      <c r="G35" s="7"/>
      <c r="H35" s="7"/>
    </row>
    <row r="36" spans="1:19">
      <c r="A36" s="8" t="s">
        <v>44</v>
      </c>
      <c r="B36" s="9"/>
      <c r="C36" s="9"/>
      <c r="D36" s="9"/>
      <c r="E36" s="9"/>
      <c r="F36" s="9"/>
      <c r="G36" s="9"/>
      <c r="H36" s="9"/>
    </row>
    <row r="37" spans="1:19">
      <c r="A37" s="6" t="s">
        <v>45</v>
      </c>
      <c r="B37" s="7"/>
      <c r="C37" s="7"/>
      <c r="D37" s="7"/>
      <c r="E37" s="7"/>
      <c r="F37" s="7"/>
      <c r="G37" s="7"/>
      <c r="H37" s="7"/>
    </row>
    <row r="38" spans="1:19">
      <c r="A38" s="8" t="s">
        <v>46</v>
      </c>
      <c r="B38" s="9"/>
      <c r="C38" s="9"/>
      <c r="D38" s="9"/>
      <c r="E38" s="9"/>
      <c r="F38" s="9"/>
      <c r="G38" s="9"/>
      <c r="H38" s="9"/>
    </row>
    <row r="39" spans="1:19">
      <c r="A39" s="6" t="s">
        <v>47</v>
      </c>
      <c r="B39" s="7"/>
      <c r="C39" s="7"/>
      <c r="D39" s="7"/>
      <c r="E39" s="7"/>
      <c r="F39" s="7"/>
      <c r="G39" s="7"/>
      <c r="H39" s="7"/>
    </row>
    <row r="40" ht="24" customHeight="1" spans="1:19">
      <c r="A40" s="8" t="s">
        <v>48</v>
      </c>
      <c r="B40" s="9"/>
      <c r="C40" s="9"/>
      <c r="D40" s="9"/>
      <c r="E40" s="9"/>
      <c r="F40" s="9"/>
      <c r="G40" s="9"/>
      <c r="H40" s="9"/>
    </row>
  </sheetData>
  <mergeCells count="3">
    <mergeCell ref="A1:H1"/>
    <mergeCell ref="A15:H15"/>
    <mergeCell ref="A29:H2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本地化报价</vt:lpstr>
      <vt:lpstr>【字数统计】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DQ</cp:lastModifiedBy>
  <dcterms:created xsi:type="dcterms:W3CDTF">2021-02-04T05:18:00Z</dcterms:created>
  <cp:lastPrinted>2021-12-01T07:56:00Z</cp:lastPrinted>
  <dcterms:modified xsi:type="dcterms:W3CDTF">2026-05-07T06:40:59Z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8CCAB5EA6B1D47449B9AD43A3A5F6B00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