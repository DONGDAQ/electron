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本地化报价" sheetId="9" r:id="rId1"/>
    <sheet name="字数统计" sheetId="11" r:id="rId2"/>
    <sheet name="具体数据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<sst xmlns="http://schemas.openxmlformats.org/spreadsheetml/2006/main" count="55" uniqueCount="48">
  <si>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报价单</t>
  </si>
  <si>
    <t>报价信息</t>
  </si>
  <si>
    <t>报价单号：</t>
  </si>
  <si>
    <r>
      <t>20260506</t>
    </r>
    <r>
      <rPr>
        <sz val="10"/>
        <color theme="0"/>
        <rFont val="微软雅黑"/>
        <charset val="134"/>
      </rPr>
      <t>，</t>
    </r>
  </si>
  <si>
    <t>报价日期：</t>
  </si>
  <si>
    <t>服务内容</t>
  </si>
  <si>
    <t>预估字数</t>
  </si>
  <si>
    <t>每字单价/CNY</t>
  </si>
  <si>
    <t xml:space="preserve">总额
</t>
  </si>
  <si>
    <t>6.00_PNG增量_20260506.xlsx 
HL260408002-018</t>
  </si>
  <si>
    <t>合计</t>
  </si>
  <si>
    <t>排期</t>
  </si>
  <si>
    <t xml:space="preserve">交付日  2026/5/8 16:00 
</t>
  </si>
  <si>
    <t>联系信息</t>
  </si>
  <si>
    <t>我司名称：</t>
  </si>
  <si>
    <t>大连游者之家信息技术有限公司</t>
  </si>
  <si>
    <t>我司地址：</t>
  </si>
  <si>
    <t>辽宁省大连市高新园区黄浦路533号 海创国际大厦7层07单元</t>
  </si>
  <si>
    <t>联系人员：</t>
  </si>
  <si>
    <t>殷守纪</t>
  </si>
  <si>
    <t>联系电话：</t>
  </si>
  <si>
    <t>语源source的亚洲文字数总字数</t>
  </si>
  <si>
    <t>全source的文字数</t>
  </si>
  <si>
    <t>非亚洲文字折算计费字数 
（全source的文字数-语源source的文字数）*30%</t>
  </si>
  <si>
    <t>模糊匹配规则下的原文字数</t>
  </si>
  <si>
    <t>合计字数</t>
  </si>
  <si>
    <t>分析</t>
  </si>
  <si>
    <t>範囲</t>
  </si>
  <si>
    <t>選択した文書；文書数: 1</t>
  </si>
  <si>
    <t>リソース</t>
  </si>
  <si>
    <t>均一性</t>
  </si>
  <si>
    <t>ファイル [zho-CN-jpn]6.00_PNG增量_20260506.xlsx の統計</t>
  </si>
  <si>
    <t>種類</t>
  </si>
  <si>
    <t>セグメント数</t>
  </si>
  <si>
    <t>ソースの単語数</t>
  </si>
  <si>
    <t>ソースがアジア言語以外の単語数</t>
  </si>
  <si>
    <t>ソースがアジア言語の文字数</t>
  </si>
  <si>
    <t>ソースの文字数</t>
  </si>
  <si>
    <t>ソースのタグ</t>
  </si>
  <si>
    <t>割合</t>
  </si>
  <si>
    <t>すべて</t>
  </si>
  <si>
    <t>クロス翻訳/二重コンテキスト</t>
  </si>
  <si>
    <t>繰り返し</t>
  </si>
  <si>
    <t>95%-99%</t>
  </si>
  <si>
    <t>85%-94%</t>
  </si>
  <si>
    <t>75%-84%</t>
  </si>
  <si>
    <t>50%-74%</t>
  </si>
  <si>
    <t>一致しない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</si>
</sst>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\(0\)"/>
    <numFmt numFmtId="178" formatCode="0.00_ "/>
    <numFmt numFmtId="179" formatCode="yyyy&quot;年&quot;m&quot;月&quot;d&quot;日&quot;;@"/>
    <numFmt numFmtId="180" formatCode="[DBNum2][$-411]General"/>
    <numFmt numFmtId="181" formatCode="[DBNum2][$-804]General"/>
  </numFmts>
  <fonts count="44">
    <font>
      <sz val="11"/>
      <color theme="1"/>
      <name val="等线"/>
      <charset val="134"/>
      <scheme val="minor"/>
    </font>
    <font>
      <b/>
      <sz val="12.35"/>
      <color rgb="FF000000"/>
      <name val="Arial"/>
      <charset val="134"/>
    </font>
    <font>
      <b/>
      <sz val="10.7"/>
      <color rgb="FF000000"/>
      <name val="Arial"/>
      <charset val="134"/>
    </font>
    <font>
      <sz val="8.25"/>
      <color rgb="FF000000"/>
      <name val="Arial"/>
      <charset val="134"/>
    </font>
    <font>
      <i/>
      <sz val="8.25"/>
      <color rgb="FF800000"/>
      <name val="Arial"/>
      <charset val="134"/>
    </font>
    <font>
      <b/>
      <sz val="8.25"/>
      <color theme="1"/>
      <name val="Arial"/>
      <charset val="134"/>
    </font>
    <font>
      <sz val="8.25"/>
      <color theme="1"/>
      <name val="Arial"/>
      <charset val="134"/>
    </font>
    <font>
      <b/>
      <sz val="12.5"/>
      <color rgb="FF000000"/>
      <name val="MS Gothic"/>
      <charset val="134"/>
    </font>
    <font>
      <b/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b/>
      <sz val="11"/>
      <color rgb="FF0070C0"/>
      <name val="微软雅黑"/>
      <charset val="134"/>
    </font>
    <font>
      <sz val="11"/>
      <color theme="1"/>
      <name val="微软雅黑"/>
      <charset val="134"/>
    </font>
    <font>
      <b/>
      <sz val="18"/>
      <color theme="0"/>
      <name val="微软雅黑"/>
      <charset val="134"/>
    </font>
    <font>
      <sz val="11"/>
      <name val="微软雅黑"/>
      <charset val="134"/>
    </font>
    <font>
      <b/>
      <sz val="22"/>
      <color rgb="FF0085B4"/>
      <name val="微软雅黑"/>
      <charset val="134"/>
    </font>
    <font>
      <b/>
      <sz val="14"/>
      <color rgb="FF0085B4"/>
      <name val="微软雅黑"/>
      <charset val="134"/>
    </font>
    <font>
      <b/>
      <sz val="16"/>
      <color rgb="FF0085B4"/>
      <name val="微软雅黑"/>
      <charset val="134"/>
    </font>
    <font>
      <b/>
      <sz val="12"/>
      <color rgb="FF0085B4"/>
      <name val="微软雅黑"/>
      <charset val="134"/>
    </font>
    <font>
      <b/>
      <sz val="13"/>
      <color rgb="FF0085B4"/>
      <name val="微软雅黑"/>
      <charset val="134"/>
    </font>
    <font>
      <sz val="10"/>
      <color theme="1" tint="0.349986266670736"/>
      <name val="微软雅黑"/>
      <charset val="134"/>
    </font>
    <font>
      <b/>
      <sz val="10"/>
      <color rgb="FF0085B4"/>
      <name val="微软雅黑"/>
      <charset val="134"/>
    </font>
    <font>
      <sz val="10"/>
      <color theme="1" tint="0.249977111117893"/>
      <name val="微软雅黑"/>
      <charset val="134"/>
    </font>
    <font>
      <sz val="10"/>
      <color theme="1" tint="0.349986266670736"/>
      <name val="等线"/>
      <charset val="134"/>
      <scheme val="minor"/>
    </font>
    <font>
      <sz val="11"/>
      <color theme="0"/>
      <name val="微软雅黑"/>
      <charset val="134"/>
    </font>
    <font>
      <b/>
      <sz val="16"/>
      <color theme="1" tint="0.349986266670736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rgb="FFB8C6CF"/>
        <bgColor indexed="64"/>
      </patternFill>
    </fill>
    <fill>
      <patternFill patternType="solid">
        <fgColor rgb="FFF0F0FF"/>
        <bgColor indexed="64"/>
      </patternFill>
    </fill>
    <fill>
      <patternFill patternType="solid">
        <fgColor rgb="FFF7F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5B4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 style="medium">
        <color rgb="FF0085B4"/>
      </right>
      <top/>
      <bottom/>
      <diagonal/>
    </border>
    <border>
      <left/>
      <right/>
      <top/>
      <bottom style="medium">
        <color rgb="FF0085B4"/>
      </bottom>
      <diagonal/>
    </border>
    <border>
      <left style="thin">
        <color rgb="FF0085B4"/>
      </left>
      <right style="thin">
        <color rgb="FF0085B4"/>
      </right>
      <top style="thin">
        <color rgb="FF0085B4"/>
      </top>
      <bottom style="thin">
        <color rgb="FF0085B4"/>
      </bottom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3" fillId="11" borderId="18" applyNumberFormat="0" applyAlignment="0" applyProtection="0">
      <alignment vertical="center"/>
    </xf>
    <xf numFmtId="0" fontId="34" fillId="11" borderId="17" applyNumberFormat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0" fillId="0" borderId="0"/>
  </cellStyleXfs>
  <cellXfs count="7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1" xfId="0" applyFont="1" applyFill="1" applyBorder="1" applyAlignment="1">
      <alignment horizontal="righ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right" vertical="top" wrapText="1"/>
    </xf>
    <xf numFmtId="0" fontId="6" fillId="4" borderId="2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right" vertical="top" wrapText="1"/>
    </xf>
    <xf numFmtId="9" fontId="6" fillId="4" borderId="2" xfId="0" applyNumberFormat="1" applyFont="1" applyFill="1" applyBorder="1" applyAlignment="1">
      <alignment horizontal="left" vertical="top" wrapText="1"/>
    </xf>
    <xf numFmtId="9" fontId="6" fillId="3" borderId="2" xfId="0" applyNumberFormat="1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176" fontId="8" fillId="5" borderId="4" xfId="0" applyNumberFormat="1" applyFont="1" applyFill="1" applyBorder="1" applyAlignment="1">
      <alignment horizontal="center" vertical="center" wrapText="1"/>
    </xf>
    <xf numFmtId="176" fontId="8" fillId="6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9" fontId="0" fillId="0" borderId="0" xfId="0" applyNumberFormat="1">
      <alignment vertical="center"/>
    </xf>
    <xf numFmtId="0" fontId="0" fillId="6" borderId="0" xfId="0" applyFill="1">
      <alignment vertical="center"/>
    </xf>
    <xf numFmtId="0" fontId="9" fillId="0" borderId="0" xfId="6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5" xfId="0" applyFont="1" applyBorder="1">
      <alignment vertical="center"/>
    </xf>
    <xf numFmtId="0" fontId="11" fillId="0" borderId="6" xfId="0" applyFont="1" applyBorder="1">
      <alignment vertical="center"/>
    </xf>
    <xf numFmtId="0" fontId="11" fillId="0" borderId="7" xfId="0" applyFont="1" applyBorder="1">
      <alignment vertical="center"/>
    </xf>
    <xf numFmtId="0" fontId="10" fillId="0" borderId="8" xfId="0" applyFont="1" applyBorder="1">
      <alignment vertical="center"/>
    </xf>
    <xf numFmtId="0" fontId="12" fillId="7" borderId="0" xfId="0" applyFont="1" applyFill="1" applyAlignment="1">
      <alignment horizontal="center" vertical="center"/>
    </xf>
    <xf numFmtId="0" fontId="10" fillId="0" borderId="9" xfId="0" applyFont="1" applyBorder="1">
      <alignment vertical="center"/>
    </xf>
    <xf numFmtId="0" fontId="13" fillId="0" borderId="0" xfId="49" applyFont="1"/>
    <xf numFmtId="0" fontId="13" fillId="0" borderId="0" xfId="49" applyFont="1" applyAlignment="1">
      <alignment horizontal="center"/>
    </xf>
    <xf numFmtId="0" fontId="14" fillId="0" borderId="0" xfId="0" applyFont="1">
      <alignment vertical="center"/>
    </xf>
    <xf numFmtId="0" fontId="15" fillId="0" borderId="10" xfId="0" applyFont="1" applyBorder="1">
      <alignment vertical="center"/>
    </xf>
    <xf numFmtId="0" fontId="16" fillId="0" borderId="10" xfId="0" applyFont="1" applyBorder="1">
      <alignment vertical="center"/>
    </xf>
    <xf numFmtId="0" fontId="14" fillId="0" borderId="10" xfId="0" applyFont="1" applyBorder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14" fontId="19" fillId="0" borderId="0" xfId="0" applyNumberFormat="1" applyFont="1" applyAlignment="1">
      <alignment horizontal="left" vertical="center"/>
    </xf>
    <xf numFmtId="14" fontId="19" fillId="0" borderId="0" xfId="0" applyNumberFormat="1" applyFont="1" applyAlignment="1">
      <alignment horizontal="center" vertical="center"/>
    </xf>
    <xf numFmtId="0" fontId="11" fillId="0" borderId="8" xfId="0" applyFont="1" applyBorder="1">
      <alignment vertical="center"/>
    </xf>
    <xf numFmtId="0" fontId="20" fillId="8" borderId="11" xfId="0" applyFont="1" applyFill="1" applyBorder="1" applyAlignment="1">
      <alignment horizontal="center" vertical="center"/>
    </xf>
    <xf numFmtId="0" fontId="20" fillId="8" borderId="11" xfId="0" applyFont="1" applyFill="1" applyBorder="1" applyAlignment="1">
      <alignment horizontal="center" vertical="center" wrapText="1"/>
    </xf>
    <xf numFmtId="0" fontId="11" fillId="0" borderId="9" xfId="0" applyFont="1" applyBorder="1">
      <alignment vertical="center"/>
    </xf>
    <xf numFmtId="0" fontId="11" fillId="0" borderId="8" xfId="0" applyFont="1" applyBorder="1" applyAlignment="1">
      <alignment horizontal="center" vertical="center"/>
    </xf>
    <xf numFmtId="177" fontId="19" fillId="0" borderId="11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178" fontId="21" fillId="0" borderId="1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77" fontId="19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177" fontId="19" fillId="0" borderId="0" xfId="0" applyNumberFormat="1" applyFont="1" applyAlignment="1">
      <alignment horizontal="left" vertical="center" wrapText="1"/>
    </xf>
    <xf numFmtId="179" fontId="19" fillId="0" borderId="0" xfId="0" applyNumberFormat="1" applyFont="1" applyAlignment="1">
      <alignment horizontal="left" vertical="top" wrapText="1"/>
    </xf>
    <xf numFmtId="179" fontId="19" fillId="0" borderId="0" xfId="0" applyNumberFormat="1" applyFont="1" applyAlignment="1">
      <alignment vertical="top" wrapText="1"/>
    </xf>
    <xf numFmtId="179" fontId="22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177" fontId="19" fillId="0" borderId="0" xfId="0" applyNumberFormat="1" applyFont="1" applyAlignment="1">
      <alignment horizontal="left" vertical="top" wrapText="1"/>
    </xf>
    <xf numFmtId="180" fontId="21" fillId="0" borderId="0" xfId="0" applyNumberFormat="1" applyFont="1">
      <alignment vertical="center"/>
    </xf>
    <xf numFmtId="180" fontId="11" fillId="0" borderId="0" xfId="0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24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11" fillId="0" borderId="12" xfId="0" applyFont="1" applyBorder="1">
      <alignment vertical="center"/>
    </xf>
    <xf numFmtId="0" fontId="11" fillId="0" borderId="10" xfId="0" applyFont="1" applyBorder="1">
      <alignment vertical="center"/>
    </xf>
    <xf numFmtId="0" fontId="11" fillId="0" borderId="13" xfId="0" applyFont="1" applyBorder="1">
      <alignment vertical="center"/>
    </xf>
    <xf numFmtId="181" fontId="11" fillId="0" borderId="0" xfId="0" applyNumberFormat="1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85B4"/>
      <color rgb="00F0F3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364490</xdr:colOff>
      <xdr:row>26</xdr:row>
      <xdr:rowOff>493395</xdr:rowOff>
    </xdr:from>
    <xdr:to>
      <xdr:col>8</xdr:col>
      <xdr:colOff>330311</xdr:colOff>
      <xdr:row>31</xdr:row>
      <xdr:rowOff>134984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7590" y="6662420"/>
          <a:ext cx="1299210" cy="1060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20320</xdr:colOff>
      <xdr:row>14</xdr:row>
      <xdr:rowOff>66675</xdr:rowOff>
    </xdr:from>
    <xdr:to>
      <xdr:col>13</xdr:col>
      <xdr:colOff>450215</xdr:colOff>
      <xdr:row>19</xdr:row>
      <xdr:rowOff>98425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1795" y="3895725"/>
          <a:ext cx="6773545" cy="96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676275</xdr:colOff>
      <xdr:row>4</xdr:row>
      <xdr:rowOff>104775</xdr:rowOff>
    </xdr:from>
    <xdr:to>
      <xdr:col>17</xdr:col>
      <xdr:colOff>228600</xdr:colOff>
      <xdr:row>12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81950" y="1228725"/>
          <a:ext cx="10515600" cy="2247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7"/>
  <sheetViews>
    <sheetView showGridLines="0" tabSelected="1" zoomScale="85" zoomScaleNormal="85" workbookViewId="0">
      <selection activeCell="K15" sqref="K15"/>
    </sheetView>
  </sheetViews>
  <sheetFormatPr defaultColWidth="9" defaultRowHeight="16.5"/>
  <cols>
    <col min="1" max="1" width="1.25" style="28" customWidth="1"/>
    <col min="2" max="2" width="1.125" style="28" customWidth="1"/>
    <col min="3" max="3" width="10.375" style="28" customWidth="1"/>
    <col min="4" max="4" width="4" style="28" customWidth="1"/>
    <col min="5" max="5" width="25.25" style="28" customWidth="1"/>
    <col min="6" max="6" width="15.875" style="28" customWidth="1"/>
    <col min="7" max="7" width="17.625" style="28" customWidth="1"/>
    <col min="8" max="8" width="17.5" style="28" customWidth="1"/>
    <col min="9" max="9" width="6.25" style="28" customWidth="1"/>
    <col min="10" max="10" width="13.25" style="28" customWidth="1"/>
    <col min="11" max="11" width="9" style="28"/>
    <col min="12" max="12" width="9.625" style="28" customWidth="1"/>
    <col min="13" max="13" width="14.125" style="28"/>
    <col min="14" max="16384" width="9" style="28"/>
  </cols>
  <sheetData>
    <row r="1" ht="8.25" customHeight="1"/>
    <row r="2" ht="3.75" customHeight="1" spans="2:13">
      <c r="B2" s="29"/>
      <c r="C2" s="30"/>
      <c r="D2" s="30"/>
      <c r="E2" s="30"/>
      <c r="F2" s="30"/>
      <c r="G2" s="30"/>
      <c r="H2" s="30"/>
      <c r="I2" s="31"/>
    </row>
    <row r="3" s="26" customFormat="1" ht="19.5" customHeight="1" spans="2:13">
      <c r="B3" s="32"/>
      <c r="C3" s="33" t="s">
        <v>0</v>
      </c>
      <c r="D3" s="33"/>
      <c r="E3" s="33"/>
      <c r="F3" s="33"/>
      <c r="G3" s="33"/>
      <c r="H3" s="33"/>
      <c r="I3" s="34"/>
    </row>
    <row r="4" s="26" customFormat="1" ht="19.5" customHeight="1" spans="2:13">
      <c r="B4" s="32"/>
      <c r="C4" s="33"/>
      <c r="D4" s="33"/>
      <c r="E4" s="33"/>
      <c r="F4" s="33"/>
      <c r="G4" s="33"/>
      <c r="H4" s="33"/>
      <c r="I4" s="34"/>
    </row>
    <row r="5" s="26" customFormat="1" ht="18" customHeight="1" spans="2:13">
      <c r="B5" s="32"/>
      <c r="C5" s="35"/>
      <c r="D5" s="36"/>
      <c r="E5" s="36"/>
      <c r="F5" s="37"/>
      <c r="G5" s="37"/>
      <c r="H5" s="37"/>
      <c r="I5" s="34"/>
    </row>
    <row r="6" s="26" customFormat="1" ht="18" customHeight="1" spans="2:13">
      <c r="B6" s="32"/>
      <c r="C6" s="38" t="s">
        <v>1</v>
      </c>
      <c r="D6" s="39"/>
      <c r="E6" s="39"/>
      <c r="F6" s="40"/>
      <c r="G6" s="40"/>
      <c r="H6" s="40"/>
      <c r="I6" s="34"/>
    </row>
    <row r="7" s="26" customFormat="1" ht="18" customHeight="1" spans="2:13">
      <c r="B7" s="32"/>
      <c r="C7" s="41" t="s">
        <v>2</v>
      </c>
      <c r="D7" s="42"/>
      <c r="E7" s="43" t="s">
        <v>3</v>
      </c>
      <c r="F7" s="37"/>
      <c r="G7" s="41" t="s">
        <v>4</v>
      </c>
      <c r="H7" s="44">
        <v>46148</v>
      </c>
      <c r="I7" s="34"/>
    </row>
    <row r="8" s="26" customFormat="1" ht="9" customHeight="1" spans="2:13">
      <c r="B8" s="32"/>
      <c r="C8" s="37"/>
      <c r="D8" s="37"/>
      <c r="E8" s="37"/>
      <c r="F8" s="37"/>
      <c r="G8" s="37"/>
      <c r="H8" s="37"/>
      <c r="I8" s="34"/>
    </row>
    <row r="9" ht="32.1" customHeight="1" spans="2:13">
      <c r="B9" s="45"/>
      <c r="C9" s="46" t="s">
        <v>5</v>
      </c>
      <c r="D9" s="46"/>
      <c r="E9" s="46"/>
      <c r="F9" s="47" t="s">
        <v>6</v>
      </c>
      <c r="G9" s="47" t="s">
        <v>7</v>
      </c>
      <c r="H9" s="47" t="s">
        <v>8</v>
      </c>
      <c r="I9" s="48"/>
      <c r="M9" s="26"/>
    </row>
    <row r="10" s="27" customFormat="1" ht="71" customHeight="1" spans="2:13">
      <c r="B10" s="49"/>
      <c r="C10" s="50" t="s">
        <v>9</v>
      </c>
      <c r="D10" s="50"/>
      <c r="E10" s="50"/>
      <c r="F10" s="51">
        <f>字数统计!O4</f>
        <v>269.9</v>
      </c>
      <c r="G10" s="51">
        <v>0.64</v>
      </c>
      <c r="H10" s="52">
        <f>G10*F10</f>
        <v>172.736</v>
      </c>
      <c r="I10" s="53"/>
    </row>
    <row r="11" s="27" customFormat="1" ht="14.25" customHeight="1" spans="2:13">
      <c r="B11" s="49"/>
      <c r="C11" s="50" t="s">
        <v>10</v>
      </c>
      <c r="D11" s="50"/>
      <c r="E11" s="50"/>
      <c r="F11" s="51"/>
      <c r="G11" s="51"/>
      <c r="H11" s="52">
        <f>SUM(H10:H10)</f>
        <v>172.736</v>
      </c>
      <c r="I11" s="53"/>
    </row>
    <row r="12" s="27" customFormat="1" ht="20.1" customHeight="1" spans="2:13">
      <c r="B12" s="49"/>
      <c r="C12" s="54"/>
      <c r="D12" s="54"/>
      <c r="E12" s="54"/>
      <c r="F12" s="55"/>
      <c r="G12" s="55"/>
      <c r="H12" s="56"/>
      <c r="I12" s="53"/>
    </row>
    <row r="13" s="27" customFormat="1" ht="20.1" customHeight="1" spans="2:13">
      <c r="B13" s="49"/>
      <c r="C13" s="54" t="s">
        <v>11</v>
      </c>
      <c r="D13" s="54"/>
      <c r="E13" s="54"/>
      <c r="F13" s="55"/>
      <c r="G13" s="55"/>
      <c r="H13" s="56"/>
      <c r="I13" s="53"/>
    </row>
    <row r="14" s="27" customFormat="1" ht="20.1" customHeight="1" spans="2:13">
      <c r="B14" s="49"/>
      <c r="C14" s="57"/>
      <c r="D14" s="57"/>
      <c r="E14" s="57"/>
      <c r="F14" s="57"/>
      <c r="G14" s="57"/>
      <c r="H14" s="57"/>
      <c r="I14" s="53"/>
    </row>
    <row r="15" s="27" customFormat="1" ht="67" customHeight="1" spans="2:13">
      <c r="B15" s="49"/>
      <c r="C15" s="58" t="s">
        <v>12</v>
      </c>
      <c r="D15" s="58"/>
      <c r="E15" s="58"/>
      <c r="F15" s="58"/>
      <c r="G15" s="58"/>
      <c r="H15" s="58"/>
      <c r="I15" s="53"/>
    </row>
    <row r="16" s="27" customFormat="1" ht="4" customHeight="1" spans="2:13">
      <c r="B16" s="49"/>
      <c r="C16" s="59"/>
      <c r="D16" s="59"/>
      <c r="E16" s="59"/>
      <c r="F16" s="59"/>
      <c r="G16" s="59"/>
      <c r="H16" s="59"/>
      <c r="I16" s="53"/>
    </row>
    <row r="17" s="27" customFormat="1" ht="4" customHeight="1" spans="2:15">
      <c r="B17" s="49"/>
      <c r="C17" s="59"/>
      <c r="D17" s="59"/>
      <c r="E17" s="59"/>
      <c r="F17" s="59"/>
      <c r="G17" s="59"/>
      <c r="H17" s="59"/>
      <c r="I17" s="53"/>
    </row>
    <row r="18" s="27" customFormat="1" ht="20.1" customHeight="1" spans="2:15">
      <c r="B18" s="49"/>
      <c r="C18" s="60"/>
      <c r="D18" s="60"/>
      <c r="E18" s="60"/>
      <c r="F18" s="60"/>
      <c r="G18" s="60"/>
      <c r="H18" s="60"/>
      <c r="I18" s="53"/>
      <c r="J18" s="61"/>
      <c r="K18" s="61"/>
      <c r="L18" s="61"/>
      <c r="M18" s="61"/>
      <c r="N18" s="61"/>
      <c r="O18" s="61"/>
    </row>
    <row r="19" s="27" customFormat="1" ht="39" customHeight="1" spans="2:15">
      <c r="B19" s="49"/>
      <c r="C19" s="60"/>
      <c r="D19" s="60"/>
      <c r="E19" s="60"/>
      <c r="F19" s="60"/>
      <c r="G19" s="60"/>
      <c r="H19" s="60"/>
      <c r="I19" s="53"/>
      <c r="J19" s="61"/>
      <c r="L19" s="61"/>
      <c r="M19" s="61">
        <v>0.3</v>
      </c>
      <c r="N19" s="61"/>
      <c r="O19" s="61"/>
    </row>
    <row r="20" s="27" customFormat="1" ht="20.1" hidden="1" customHeight="1" spans="2:15">
      <c r="B20" s="49"/>
      <c r="C20" s="54"/>
      <c r="D20" s="54"/>
      <c r="E20" s="54"/>
      <c r="F20" s="55"/>
      <c r="G20" s="55"/>
      <c r="H20" s="56"/>
      <c r="I20" s="53"/>
      <c r="J20" s="61"/>
      <c r="K20" s="61"/>
      <c r="L20" s="61"/>
      <c r="M20" s="61">
        <v>0.3</v>
      </c>
      <c r="N20" s="61"/>
      <c r="O20" s="61"/>
    </row>
    <row r="21" ht="18.75" hidden="1" customHeight="1" spans="2:15">
      <c r="B21" s="45"/>
      <c r="C21" s="57"/>
      <c r="D21" s="57"/>
      <c r="E21" s="57"/>
      <c r="F21" s="57"/>
      <c r="G21" s="57"/>
      <c r="H21" s="57"/>
      <c r="I21" s="48"/>
      <c r="J21" s="62"/>
      <c r="K21" s="62"/>
      <c r="L21" s="62"/>
      <c r="M21" s="62"/>
      <c r="N21" s="62"/>
      <c r="O21" s="62"/>
    </row>
    <row r="22" hidden="1" spans="2:15">
      <c r="B22" s="45"/>
      <c r="C22" s="63"/>
      <c r="D22" s="63"/>
      <c r="E22" s="63"/>
      <c r="F22" s="63"/>
      <c r="G22" s="63"/>
      <c r="H22" s="63"/>
      <c r="I22" s="48"/>
      <c r="J22" s="62"/>
      <c r="K22" s="62"/>
      <c r="L22" s="62"/>
      <c r="M22" s="62"/>
      <c r="N22" s="62"/>
      <c r="O22" s="62"/>
    </row>
    <row r="23" ht="20.25" hidden="1" customHeight="1" spans="2:15">
      <c r="B23" s="45"/>
      <c r="C23" s="64"/>
      <c r="D23" s="57"/>
      <c r="E23" s="57"/>
      <c r="F23" s="57"/>
      <c r="G23" s="57"/>
      <c r="H23" s="57"/>
      <c r="I23" s="48"/>
      <c r="J23" s="62"/>
      <c r="K23" s="62"/>
      <c r="L23" s="62"/>
      <c r="M23" s="62"/>
      <c r="N23" s="62"/>
      <c r="O23" s="62"/>
    </row>
    <row r="24" ht="15.75" customHeight="1" spans="2:15">
      <c r="B24" s="45"/>
      <c r="C24" s="64"/>
      <c r="D24" s="65"/>
      <c r="E24" s="65"/>
      <c r="I24" s="48"/>
      <c r="J24" s="62"/>
      <c r="K24" s="62"/>
      <c r="L24" s="62"/>
      <c r="M24" s="62"/>
      <c r="N24" s="62"/>
      <c r="O24" s="62"/>
    </row>
    <row r="25" ht="26.25" customHeight="1" spans="2:15">
      <c r="B25" s="45"/>
      <c r="D25" s="65"/>
      <c r="E25" s="65"/>
      <c r="I25" s="48"/>
      <c r="J25" s="62"/>
      <c r="K25" s="62"/>
      <c r="L25" s="62"/>
      <c r="M25" s="62"/>
      <c r="N25" s="62"/>
      <c r="O25" s="62"/>
    </row>
    <row r="26" ht="18" customHeight="1" spans="2:15">
      <c r="B26" s="45"/>
      <c r="C26" s="38" t="s">
        <v>13</v>
      </c>
      <c r="D26" s="39"/>
      <c r="E26" s="39"/>
      <c r="F26" s="40"/>
      <c r="G26" s="40"/>
      <c r="H26" s="40"/>
      <c r="I26" s="48"/>
      <c r="J26" s="62"/>
      <c r="K26" s="62"/>
      <c r="L26" s="62"/>
      <c r="M26" s="62"/>
      <c r="N26" s="62"/>
      <c r="O26" s="62"/>
    </row>
    <row r="27" ht="39.75" customHeight="1" spans="2:15">
      <c r="B27" s="45"/>
      <c r="C27" s="66"/>
      <c r="D27" s="67"/>
      <c r="E27" s="67"/>
      <c r="F27" s="37"/>
      <c r="G27" s="37"/>
      <c r="H27" s="37"/>
      <c r="I27" s="48"/>
      <c r="J27" s="62"/>
      <c r="K27" s="62"/>
      <c r="L27" s="62"/>
      <c r="M27" s="62"/>
      <c r="N27" s="62"/>
      <c r="O27" s="62"/>
    </row>
    <row r="28" ht="18" customHeight="1" spans="2:15">
      <c r="B28" s="45"/>
      <c r="C28" s="68" t="s">
        <v>14</v>
      </c>
      <c r="E28" s="69" t="s">
        <v>15</v>
      </c>
      <c r="I28" s="48"/>
    </row>
    <row r="29" ht="18" customHeight="1" spans="2:15">
      <c r="B29" s="45"/>
      <c r="C29" s="68" t="s">
        <v>16</v>
      </c>
      <c r="E29" s="69" t="s">
        <v>17</v>
      </c>
      <c r="I29" s="48"/>
    </row>
    <row r="30" ht="18" customHeight="1" spans="2:15">
      <c r="B30" s="45"/>
      <c r="C30" s="68" t="s">
        <v>18</v>
      </c>
      <c r="E30" s="69" t="s">
        <v>19</v>
      </c>
      <c r="I30" s="48"/>
    </row>
    <row r="31" ht="18" customHeight="1" spans="2:15">
      <c r="B31" s="45"/>
      <c r="C31" s="68" t="s">
        <v>20</v>
      </c>
      <c r="D31" s="70"/>
      <c r="E31" s="71">
        <v>13654287085</v>
      </c>
      <c r="F31" s="70"/>
      <c r="G31" s="70"/>
      <c r="H31" s="70"/>
      <c r="I31" s="48"/>
    </row>
    <row r="32" ht="18" customHeight="1" spans="2:15">
      <c r="B32" s="45"/>
      <c r="C32" s="68"/>
      <c r="D32" s="70"/>
      <c r="E32" s="69"/>
      <c r="F32" s="70"/>
      <c r="G32" s="70"/>
      <c r="H32" s="70"/>
      <c r="I32" s="48"/>
    </row>
    <row r="33" ht="17.25" spans="2:9">
      <c r="B33" s="72"/>
      <c r="C33" s="73"/>
      <c r="D33" s="73"/>
      <c r="E33" s="73"/>
      <c r="F33" s="73"/>
      <c r="G33" s="73"/>
      <c r="H33" s="73"/>
      <c r="I33" s="74"/>
    </row>
    <row r="37" spans="2:9">
      <c r="F37" s="75"/>
    </row>
  </sheetData>
  <mergeCells count="10">
    <mergeCell ref="C9:E9"/>
    <mergeCell ref="C10:E10"/>
    <mergeCell ref="C11:E11"/>
    <mergeCell ref="C14:H14"/>
    <mergeCell ref="C15:H15"/>
    <mergeCell ref="C16:H16"/>
    <mergeCell ref="C21:H21"/>
    <mergeCell ref="C22:H22"/>
    <mergeCell ref="C3:H4"/>
    <mergeCell ref="C18:H1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G21" sqref="G21"/>
    </sheetView>
  </sheetViews>
  <sheetFormatPr defaultColWidth="9" defaultRowHeight="14.25"/>
  <cols>
    <col min="5" max="5" width="20.375" customWidth="1"/>
    <col min="6" max="6" width="12.5" customWidth="1"/>
    <col min="11" max="11" width="34.25" customWidth="1"/>
    <col min="12" max="12" width="19.375" customWidth="1"/>
    <col min="13" max="13" width="29.625" customWidth="1"/>
    <col min="14" max="14" width="18.625" customWidth="1"/>
    <col min="15" max="15" width="15" customWidth="1"/>
  </cols>
  <sheetData>
    <row r="1" ht="15" spans="1:15">
      <c r="A1" s="13" t="str">
        <f>具体数据!A1</f>
        <v>ファイル [zho-CN-jpn]6.00_PNG增量_20260506.xlsx の統計</v>
      </c>
      <c r="B1" s="14"/>
      <c r="C1" s="14"/>
      <c r="D1" s="14"/>
      <c r="E1" s="14"/>
      <c r="F1" s="14"/>
      <c r="G1" s="14"/>
      <c r="H1" s="14"/>
    </row>
    <row r="3" ht="45" customHeight="1" spans="1:15">
      <c r="K3" s="15" t="s">
        <v>21</v>
      </c>
      <c r="L3" s="16" t="s">
        <v>22</v>
      </c>
      <c r="M3" s="17" t="s">
        <v>23</v>
      </c>
      <c r="N3" s="17" t="s">
        <v>24</v>
      </c>
      <c r="O3" s="17" t="s">
        <v>25</v>
      </c>
    </row>
    <row r="4" spans="1:15">
      <c r="A4" s="18" t="s">
        <v>26</v>
      </c>
      <c r="K4" s="19">
        <f>E9</f>
        <v>260</v>
      </c>
      <c r="L4" s="19">
        <f>F9</f>
        <v>293</v>
      </c>
      <c r="M4" s="19">
        <f>(L4-K4)*0.3</f>
        <v>9.9</v>
      </c>
      <c r="N4" s="19">
        <f>J19</f>
        <v>260</v>
      </c>
      <c r="O4" s="19">
        <f>N4+M4</f>
        <v>269.9</v>
      </c>
    </row>
    <row r="5" ht="33" spans="1:15">
      <c r="A5" s="20" t="s">
        <v>27</v>
      </c>
      <c r="B5" s="21" t="s">
        <v>28</v>
      </c>
    </row>
    <row r="6" spans="1:15">
      <c r="A6" s="20" t="s">
        <v>29</v>
      </c>
      <c r="B6" s="21" t="s">
        <v>30</v>
      </c>
    </row>
    <row r="8" ht="43.5" spans="1:15">
      <c r="A8" s="5" t="str">
        <f>具体数据!A8</f>
        <v>種類</v>
      </c>
      <c r="B8" s="6" t="str">
        <f>具体数据!B8</f>
        <v>セグメント数</v>
      </c>
      <c r="C8" s="6" t="str">
        <f>具体数据!C8</f>
        <v>ソースの単語数</v>
      </c>
      <c r="D8" s="6" t="str">
        <f>具体数据!D8</f>
        <v>ソースがアジア言語以外の単語数</v>
      </c>
      <c r="E8" s="6" t="str">
        <f>具体数据!E8</f>
        <v>ソースがアジア言語の文字数</v>
      </c>
      <c r="F8" s="6" t="str">
        <f>具体数据!F8</f>
        <v>ソースの文字数</v>
      </c>
      <c r="G8" s="6" t="str">
        <f>具体数据!G8</f>
        <v>ソースのタグ</v>
      </c>
      <c r="H8" s="6" t="str">
        <f>具体数据!H8</f>
        <v>割合</v>
      </c>
      <c r="J8" s="22" t="s">
        <v>24</v>
      </c>
    </row>
    <row r="9" ht="15" spans="1:15">
      <c r="A9" s="7" t="str">
        <f>具体数据!A9</f>
        <v>すべて</v>
      </c>
      <c r="B9" s="8">
        <f>具体数据!B9</f>
        <v>9</v>
      </c>
      <c r="C9" s="8">
        <f>具体数据!C9</f>
        <v>260</v>
      </c>
      <c r="D9" s="8">
        <f>具体数据!D9</f>
        <v>0</v>
      </c>
      <c r="E9" s="8">
        <f>具体数据!E9</f>
        <v>260</v>
      </c>
      <c r="F9" s="8">
        <f>具体数据!F9</f>
        <v>293</v>
      </c>
      <c r="G9" s="8">
        <f>具体数据!G9</f>
        <v>6</v>
      </c>
      <c r="H9" s="8">
        <f>具体数据!H9</f>
        <v>100</v>
      </c>
    </row>
    <row r="10" ht="33" spans="1:15">
      <c r="A10" s="9" t="str">
        <f>具体数据!A10</f>
        <v>クロス翻訳/二重コンテキスト</v>
      </c>
      <c r="B10" s="10">
        <f>具体数据!B10</f>
        <v>0</v>
      </c>
      <c r="C10" s="10">
        <f>具体数据!C10</f>
        <v>0</v>
      </c>
      <c r="D10" s="10">
        <f>具体数据!D10</f>
        <v>0</v>
      </c>
      <c r="E10" s="10">
        <f>具体数据!E10</f>
        <v>0</v>
      </c>
      <c r="F10" s="10">
        <f>具体数据!F10</f>
        <v>0</v>
      </c>
      <c r="G10" s="10">
        <f>具体数据!G10</f>
        <v>0</v>
      </c>
      <c r="H10" s="10">
        <f>具体数据!H10</f>
        <v>0</v>
      </c>
    </row>
    <row r="11" ht="15" spans="1:15">
      <c r="A11" s="7" t="str">
        <f>具体数据!A11</f>
        <v>繰り返し</v>
      </c>
      <c r="B11" s="8">
        <f>具体数据!B11</f>
        <v>0</v>
      </c>
      <c r="C11" s="8">
        <f>具体数据!C11</f>
        <v>0</v>
      </c>
      <c r="D11" s="8">
        <f>具体数据!D11</f>
        <v>0</v>
      </c>
      <c r="E11" s="8">
        <f>具体数据!E11</f>
        <v>0</v>
      </c>
      <c r="F11" s="8">
        <f>具体数据!F11</f>
        <v>0</v>
      </c>
      <c r="G11" s="8">
        <f>具体数据!G11</f>
        <v>0</v>
      </c>
      <c r="H11" s="8">
        <f>具体数据!H11</f>
        <v>0</v>
      </c>
      <c r="I11" s="23"/>
    </row>
    <row r="12" ht="15" spans="1:15">
      <c r="A12" s="11">
        <f>具体数据!A12</f>
        <v>1.01</v>
      </c>
      <c r="B12" s="10">
        <f>具体数据!B12</f>
        <v>0</v>
      </c>
      <c r="C12" s="10">
        <f>具体数据!C12</f>
        <v>0</v>
      </c>
      <c r="D12" s="10">
        <f>具体数据!D12</f>
        <v>0</v>
      </c>
      <c r="E12" s="10">
        <f>具体数据!E12</f>
        <v>0</v>
      </c>
      <c r="F12" s="10">
        <f>具体数据!F12</f>
        <v>0</v>
      </c>
      <c r="G12" s="10">
        <f>具体数据!G12</f>
        <v>0</v>
      </c>
      <c r="H12" s="10">
        <f>具体数据!H12</f>
        <v>0</v>
      </c>
      <c r="I12" s="23">
        <v>0</v>
      </c>
      <c r="J12">
        <f t="shared" ref="J11:J18" si="0">I12*E12</f>
        <v>0</v>
      </c>
    </row>
    <row r="13" ht="15" spans="1:15">
      <c r="A13" s="12">
        <f>具体数据!A13</f>
        <v>1</v>
      </c>
      <c r="B13" s="8">
        <f>具体数据!B13</f>
        <v>0</v>
      </c>
      <c r="C13" s="8">
        <f>具体数据!C13</f>
        <v>0</v>
      </c>
      <c r="D13" s="8">
        <f>具体数据!D13</f>
        <v>0</v>
      </c>
      <c r="E13" s="8">
        <f>具体数据!E13</f>
        <v>0</v>
      </c>
      <c r="F13" s="8">
        <f>具体数据!F13</f>
        <v>0</v>
      </c>
      <c r="G13" s="8">
        <f>具体数据!G13</f>
        <v>0</v>
      </c>
      <c r="H13" s="8">
        <f>具体数据!H13</f>
        <v>0</v>
      </c>
      <c r="I13" s="23">
        <v>0.1</v>
      </c>
      <c r="J13">
        <f t="shared" si="0"/>
        <v>0</v>
      </c>
    </row>
    <row r="14" ht="15" spans="1:15">
      <c r="A14" s="9" t="str">
        <f>具体数据!A14</f>
        <v>95%-99%</v>
      </c>
      <c r="B14" s="10">
        <f>具体数据!B14</f>
        <v>0</v>
      </c>
      <c r="C14" s="10">
        <f>具体数据!C14</f>
        <v>0</v>
      </c>
      <c r="D14" s="10">
        <f>具体数据!D14</f>
        <v>0</v>
      </c>
      <c r="E14" s="10">
        <f>具体数据!E14</f>
        <v>0</v>
      </c>
      <c r="F14" s="10">
        <f>具体数据!F14</f>
        <v>0</v>
      </c>
      <c r="G14" s="10">
        <f>具体数据!G14</f>
        <v>0</v>
      </c>
      <c r="H14" s="10">
        <f>具体数据!H14</f>
        <v>0</v>
      </c>
      <c r="I14" s="23">
        <v>0.4</v>
      </c>
      <c r="J14">
        <f t="shared" si="0"/>
        <v>0</v>
      </c>
    </row>
    <row r="15" ht="15" spans="1:15">
      <c r="A15" s="7" t="str">
        <f>具体数据!A15</f>
        <v>85%-94%</v>
      </c>
      <c r="B15" s="8">
        <f>具体数据!B15</f>
        <v>0</v>
      </c>
      <c r="C15" s="8">
        <f>具体数据!C15</f>
        <v>0</v>
      </c>
      <c r="D15" s="8">
        <f>具体数据!D15</f>
        <v>0</v>
      </c>
      <c r="E15" s="8">
        <f>具体数据!E15</f>
        <v>0</v>
      </c>
      <c r="F15" s="8">
        <f>具体数据!F15</f>
        <v>0</v>
      </c>
      <c r="G15" s="8">
        <f>具体数据!G15</f>
        <v>0</v>
      </c>
      <c r="H15" s="8">
        <f>具体数据!H15</f>
        <v>0</v>
      </c>
      <c r="I15" s="23">
        <v>1</v>
      </c>
      <c r="J15">
        <f t="shared" si="0"/>
        <v>0</v>
      </c>
    </row>
    <row r="16" ht="15" spans="1:15">
      <c r="A16" s="9" t="str">
        <f>具体数据!A16</f>
        <v>75%-84%</v>
      </c>
      <c r="B16" s="10">
        <f>具体数据!B16</f>
        <v>0</v>
      </c>
      <c r="C16" s="10">
        <f>具体数据!C16</f>
        <v>0</v>
      </c>
      <c r="D16" s="10">
        <f>具体数据!D16</f>
        <v>0</v>
      </c>
      <c r="E16" s="10">
        <f>具体数据!E16</f>
        <v>0</v>
      </c>
      <c r="F16" s="10">
        <f>具体数据!F16</f>
        <v>0</v>
      </c>
      <c r="G16" s="10">
        <f>具体数据!G16</f>
        <v>0</v>
      </c>
      <c r="H16" s="10">
        <f>具体数据!H16</f>
        <v>0</v>
      </c>
      <c r="I16" s="23">
        <v>1</v>
      </c>
      <c r="J16">
        <f t="shared" si="0"/>
        <v>0</v>
      </c>
    </row>
    <row r="17" ht="15" spans="1:10">
      <c r="A17" s="7" t="str">
        <f>具体数据!A17</f>
        <v>50%-74%</v>
      </c>
      <c r="B17" s="8">
        <f>具体数据!B17</f>
        <v>0</v>
      </c>
      <c r="C17" s="8">
        <f>具体数据!C17</f>
        <v>0</v>
      </c>
      <c r="D17" s="8">
        <f>具体数据!D17</f>
        <v>0</v>
      </c>
      <c r="E17" s="8">
        <f>具体数据!E17</f>
        <v>0</v>
      </c>
      <c r="F17" s="8">
        <f>具体数据!F17</f>
        <v>0</v>
      </c>
      <c r="G17" s="8">
        <f>具体数据!G17</f>
        <v>0</v>
      </c>
      <c r="H17" s="8">
        <f>具体数据!H17</f>
        <v>0</v>
      </c>
      <c r="I17" s="23">
        <v>1</v>
      </c>
      <c r="J17">
        <f t="shared" si="0"/>
        <v>0</v>
      </c>
    </row>
    <row r="18" spans="1:10">
      <c r="A18" s="9" t="str">
        <f>具体数据!A18</f>
        <v>一致しない</v>
      </c>
      <c r="B18" s="10">
        <f>具体数据!B18</f>
        <v>9</v>
      </c>
      <c r="C18" s="10">
        <f>具体数据!C18</f>
        <v>260</v>
      </c>
      <c r="D18" s="10">
        <f>具体数据!D18</f>
        <v>0</v>
      </c>
      <c r="E18" s="10">
        <f>具体数据!E18</f>
        <v>260</v>
      </c>
      <c r="F18" s="10">
        <f>具体数据!F18</f>
        <v>293</v>
      </c>
      <c r="G18" s="10">
        <f>具体数据!G18</f>
        <v>6</v>
      </c>
      <c r="H18" s="10">
        <f>具体数据!H18</f>
        <v>100</v>
      </c>
      <c r="I18" s="23">
        <v>1</v>
      </c>
      <c r="J18">
        <f t="shared" si="0"/>
        <v>260</v>
      </c>
    </row>
    <row r="19" spans="1:10">
      <c r="A19" t="s">
        <v>10</v>
      </c>
      <c r="J19" s="24">
        <f>SUM(J11:J18)</f>
        <v>260</v>
      </c>
    </row>
    <row r="21" spans="1:10">
      <c r="A21" s="25"/>
    </row>
    <row r="25" spans="1:10">
      <c r="B25" s="21"/>
    </row>
    <row r="26" spans="1:10">
      <c r="A26" s="20"/>
      <c r="B26" s="21"/>
    </row>
  </sheetData>
  <mergeCells count="1">
    <mergeCell ref="A1:H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A1" sqref="A1"/>
    </sheetView>
  </sheetViews>
  <sheetFormatPr defaultColWidth="9" defaultRowHeight="14.25" outlineLevelCol="7"/>
  <cols>
    <col min="2" max="2" width="14.25" customWidth="1"/>
    <col min="3" max="3" width="23.5" customWidth="1"/>
    <col min="4" max="4" width="26.125" customWidth="1"/>
    <col min="5" max="5" width="23.125" customWidth="1"/>
    <col min="6" max="6" width="21.25" customWidth="1"/>
    <col min="7" max="7" width="11" customWidth="1"/>
  </cols>
  <sheetData>
    <row r="1" ht="137.25" spans="1:8">
      <c r="A1" s="1" t="s">
        <v>31</v>
      </c>
    </row>
    <row r="4" spans="1:8">
      <c r="A4" s="2" t="s">
        <v>26</v>
      </c>
    </row>
    <row r="5" ht="21.75" spans="1:8">
      <c r="A5" s="3" t="s">
        <v>27</v>
      </c>
      <c r="B5" s="4" t="s">
        <v>28</v>
      </c>
    </row>
    <row r="6" spans="1:8">
      <c r="A6" s="3" t="s">
        <v>29</v>
      </c>
      <c r="B6" s="4" t="s">
        <v>30</v>
      </c>
    </row>
    <row r="8" ht="15" spans="1:8">
      <c r="A8" s="5" t="s">
        <v>32</v>
      </c>
      <c r="B8" s="6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38</v>
      </c>
      <c r="H8" s="6" t="s">
        <v>39</v>
      </c>
    </row>
    <row r="9" ht="15" spans="1:8">
      <c r="A9" s="7" t="s">
        <v>40</v>
      </c>
      <c r="B9" s="8">
        <v>9</v>
      </c>
      <c r="C9" s="8">
        <v>260</v>
      </c>
      <c r="D9" s="8">
        <v>0</v>
      </c>
      <c r="E9" s="8">
        <v>260</v>
      </c>
      <c r="F9" s="8">
        <v>293</v>
      </c>
      <c r="G9" s="8">
        <v>6</v>
      </c>
      <c r="H9" s="8">
        <v>100</v>
      </c>
    </row>
    <row r="10" ht="33" spans="1:8">
      <c r="A10" s="9" t="s">
        <v>41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</row>
    <row r="11" ht="15" spans="1:8">
      <c r="A11" s="7" t="s">
        <v>42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</row>
    <row r="12" ht="15" spans="1:8">
      <c r="A12" s="11">
        <v>1.01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</row>
    <row r="13" ht="15" spans="1:8">
      <c r="A13" s="12">
        <v>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  <row r="14" ht="15" spans="1:8">
      <c r="A14" s="9" t="s">
        <v>43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</row>
    <row r="15" ht="15" spans="1:8">
      <c r="A15" s="7" t="s">
        <v>44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</row>
    <row r="16" ht="15" spans="1:8">
      <c r="A16" s="9" t="s">
        <v>45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</row>
    <row r="17" ht="15" spans="1:8">
      <c r="A17" s="7" t="s">
        <v>46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</row>
    <row r="18" spans="1:8">
      <c r="A18" s="9" t="s">
        <v>47</v>
      </c>
      <c r="B18" s="10">
        <v>9</v>
      </c>
      <c r="C18" s="10">
        <v>260</v>
      </c>
      <c r="D18" s="10">
        <v>0</v>
      </c>
      <c r="E18" s="10">
        <v>260</v>
      </c>
      <c r="F18" s="10">
        <v>293</v>
      </c>
      <c r="G18" s="10">
        <v>6</v>
      </c>
      <c r="H18" s="10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本地化报价</vt:lpstr>
      <vt:lpstr>字数统计</vt:lpstr>
      <vt:lpstr>具体数据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DQ</cp:lastModifiedBy>
  <dcterms:created xsi:type="dcterms:W3CDTF">2021-02-04T05:18:00Z</dcterms:created>
  <cp:lastPrinted>2021-12-01T07:56:00Z</cp:lastPrinted>
  <dcterms:modified xsi:type="dcterms:W3CDTF">2026-05-12T02:21:20Z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36F7A05E563741EDA51D86816DF86D79_13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