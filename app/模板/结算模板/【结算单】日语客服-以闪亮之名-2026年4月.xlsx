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<sst xmlns="http://schemas.openxmlformats.org/spreadsheetml/2006/main" count="24" uniqueCount="24">
  <si>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大连游者之家信息技术有限公司</t>
  </si>
  <si>
    <t xml:space="preserve">辽宁省大连高新技术产业园区黄浦路533号海创国际产业大厦7层07单元
</t>
  </si>
  <si>
    <t xml:space="preserve">  日语客服费用结算单</t>
  </si>
  <si>
    <t>结算信息</t>
  </si>
  <si>
    <t>结算单号：</t>
  </si>
  <si>
    <t>厂商名称：</t>
  </si>
  <si>
    <t>祖龙（天津）科技股份有限公司</t>
  </si>
  <si>
    <t>厂商联系人：</t>
  </si>
  <si>
    <t>厂商联系电话：</t>
  </si>
  <si>
    <t>服务产品名称：</t>
  </si>
  <si>
    <t>以闪亮之名（日服）</t>
  </si>
  <si>
    <t>费用项目</t>
  </si>
  <si>
    <t>件数</t>
  </si>
  <si>
    <t>低消
件数</t>
  </si>
  <si>
    <t>单价
CNY</t>
  </si>
  <si>
    <t>费用小计
CNY</t>
  </si>
  <si>
    <t>增值税（6%）</t>
  </si>
  <si>
    <t>以闪4月500件以内费用</t>
  </si>
  <si>
    <t>合计</t>
  </si>
  <si>
    <t>费用合计 CNY</t>
  </si>
  <si>
    <t>* 请厂商以汇款方式支付以上金额</t>
  </si>
  <si>
    <t xml:space="preserve">*2023年7月开始套餐的计算方式如下：
合计费用=每月案件数*15，每月不满500件按照500件计算。
每月超出标准件数100%（500件以上）的件数按每件15元计算；超出150%（750件）的件数按每件22.5元计算。
</t>
  </si>
  <si>
    <t>承办人签章：</t>
  </si>
  <si>
    <t>客户确认签章：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</si>
</sst>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0085B4"/>
      <name val="微软雅黑"/>
      <charset val="134"/>
    </font>
    <font>
      <b/>
      <sz val="11"/>
      <color rgb="FF0085B4"/>
      <name val="微软雅黑"/>
      <charset val="134"/>
    </font>
    <font>
      <b/>
      <sz val="14"/>
      <color rgb="FF0085B4"/>
      <name val="微软雅黑"/>
      <charset val="134"/>
    </font>
    <font>
      <sz val="8"/>
      <color theme="1" tint="0.499984740745262"/>
      <name val="微软雅黑"/>
      <charset val="134"/>
    </font>
    <font>
      <b/>
      <sz val="18"/>
      <color rgb="FF0085B4"/>
      <name val="微软雅黑"/>
      <charset val="134"/>
    </font>
    <font>
      <sz val="18"/>
      <color rgb="FF0085B4"/>
      <name val="微软雅黑"/>
      <charset val="134"/>
    </font>
    <font>
      <b/>
      <sz val="13"/>
      <color rgb="FF0085B4"/>
      <name val="微软雅黑"/>
      <charset val="134"/>
    </font>
    <font>
      <sz val="11"/>
      <color theme="1" tint="0.349986266670736"/>
      <name val="微软雅黑"/>
      <charset val="134"/>
    </font>
    <font>
      <b/>
      <sz val="10"/>
      <color rgb="FF0085B4"/>
      <name val="微软雅黑"/>
      <charset val="134"/>
    </font>
    <font>
      <b/>
      <sz val="11"/>
      <color theme="1" tint="0.349986266670736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0F3FA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/>
      <top/>
      <bottom style="thin">
        <color rgb="FF0085B4"/>
      </bottom>
      <diagonal/>
    </border>
    <border>
      <left/>
      <right style="medium">
        <color rgb="FF0085B4"/>
      </right>
      <top/>
      <bottom/>
      <diagonal/>
    </border>
    <border>
      <left/>
      <right/>
      <top/>
      <bottom style="double">
        <color rgb="FF0085B4"/>
      </bottom>
      <diagonal/>
    </border>
    <border>
      <left/>
      <right/>
      <top style="thin">
        <color rgb="FF0085B4"/>
      </top>
      <bottom/>
      <diagonal/>
    </border>
    <border>
      <left style="thin">
        <color rgb="FF0085B4"/>
      </left>
      <right/>
      <top style="thin">
        <color rgb="FF0085B4"/>
      </top>
      <bottom style="thin">
        <color rgb="FF0085B4"/>
      </bottom>
      <diagonal/>
    </border>
    <border>
      <left style="thin">
        <color rgb="FF0085B4"/>
      </left>
      <right style="thin">
        <color rgb="FF0085B4"/>
      </right>
      <top style="thin">
        <color rgb="FF0085B4"/>
      </top>
      <bottom style="thin">
        <color rgb="FF0085B4"/>
      </bottom>
      <diagonal/>
    </border>
    <border>
      <left/>
      <right style="thin">
        <color rgb="FF0085B4"/>
      </right>
      <top style="thin">
        <color rgb="FF0085B4"/>
      </top>
      <bottom style="thin">
        <color rgb="FF0085B4"/>
      </bottom>
      <diagonal/>
    </border>
    <border>
      <left style="thin">
        <color theme="8" tint="-0.249977111117893"/>
      </left>
      <right style="medium">
        <color rgb="FF0085B4"/>
      </right>
      <top/>
      <bottom/>
      <diagonal/>
    </border>
    <border>
      <left style="thin">
        <color rgb="FF0085B4"/>
      </left>
      <right style="thin">
        <color rgb="FF0085B4"/>
      </right>
      <top/>
      <bottom style="thin">
        <color rgb="FF0085B4"/>
      </bottom>
      <diagonal/>
    </border>
    <border>
      <left style="thin">
        <color rgb="FF0085B4"/>
      </left>
      <right/>
      <top/>
      <bottom style="thin">
        <color rgb="FF0085B4"/>
      </bottom>
      <diagonal/>
    </border>
    <border>
      <left/>
      <right style="thin">
        <color rgb="FF0085B4"/>
      </right>
      <top/>
      <bottom style="thin">
        <color rgb="FF0085B4"/>
      </bottom>
      <diagonal/>
    </border>
    <border>
      <left style="thin">
        <color rgb="FF0085B4"/>
      </left>
      <right style="thin">
        <color rgb="FF0085B4"/>
      </right>
      <top style="double">
        <color rgb="FF0085B4"/>
      </top>
      <bottom style="thin">
        <color rgb="FF0085B4"/>
      </bottom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23" applyNumberFormat="0" applyAlignment="0" applyProtection="0">
      <alignment vertical="center"/>
    </xf>
    <xf numFmtId="0" fontId="21" fillId="6" borderId="24" applyNumberFormat="0" applyAlignment="0" applyProtection="0">
      <alignment vertical="center"/>
    </xf>
    <xf numFmtId="0" fontId="22" fillId="6" borderId="23" applyNumberFormat="0" applyAlignment="0" applyProtection="0">
      <alignment vertical="center"/>
    </xf>
    <xf numFmtId="0" fontId="23" fillId="7" borderId="25" applyNumberFormat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5" xfId="0" applyFont="1" applyBorder="1" applyAlignment="1"/>
    <xf numFmtId="0" fontId="4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0" xfId="0" applyFont="1" applyBorder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8" fillId="0" borderId="5" xfId="0" applyFont="1" applyBorder="1">
      <alignment vertical="center"/>
    </xf>
    <xf numFmtId="0" fontId="1" fillId="0" borderId="5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76" fontId="1" fillId="0" borderId="13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176" fontId="1" fillId="0" borderId="14" xfId="0" applyNumberFormat="1" applyFont="1" applyFill="1" applyBorder="1" applyAlignment="1">
      <alignment horizontal="center" vertical="center"/>
    </xf>
    <xf numFmtId="176" fontId="1" fillId="0" borderId="15" xfId="0" applyNumberFormat="1" applyFont="1" applyFill="1" applyBorder="1" applyAlignment="1">
      <alignment horizontal="center" vertical="center"/>
    </xf>
    <xf numFmtId="176" fontId="1" fillId="0" borderId="13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176" fontId="1" fillId="3" borderId="16" xfId="0" applyNumberFormat="1" applyFont="1" applyFill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9" fillId="0" borderId="0" xfId="0" applyFont="1" applyBorder="1" applyAlignment="1">
      <alignment horizontal="left" vertical="top" wrapText="1"/>
    </xf>
    <xf numFmtId="0" fontId="2" fillId="0" borderId="0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19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008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66676</xdr:colOff>
      <xdr:row>2</xdr:row>
      <xdr:rowOff>1</xdr:rowOff>
    </xdr:from>
    <xdr:to>
      <xdr:col>2</xdr:col>
      <xdr:colOff>1095376</xdr:colOff>
      <xdr:row>2</xdr:row>
      <xdr:rowOff>662315</xdr:rowOff>
    </xdr:to>
    <xdr:pic>
      <xdr:nvPicPr>
        <xdr:cNvPr id="5" name="图片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28600"/>
          <a:ext cx="1028700" cy="662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0"/>
  <sheetViews>
    <sheetView showGridLines="0" tabSelected="1" workbookViewId="0">
      <selection activeCell="N15" sqref="N15"/>
    </sheetView>
  </sheetViews>
  <sheetFormatPr defaultColWidth="9" defaultRowHeight="16.5"/>
  <cols>
    <col min="1" max="1" width="0.875" style="1" customWidth="1"/>
    <col min="2" max="2" width="3" style="1" customWidth="1"/>
    <col min="3" max="3" width="22.375" style="1" customWidth="1"/>
    <col min="4" max="4" width="6.375" style="1" customWidth="1"/>
    <col min="5" max="5" width="5.75" style="1" customWidth="1"/>
    <col min="6" max="6" width="9" style="1"/>
    <col min="7" max="7" width="4.625" style="1" customWidth="1"/>
    <col min="8" max="8" width="11.75" style="1" customWidth="1"/>
    <col min="9" max="9" width="10.875" style="1" customWidth="1"/>
    <col min="10" max="10" width="2.875" style="1" customWidth="1"/>
    <col min="11" max="16384" width="9" style="1"/>
  </cols>
  <sheetData>
    <row r="1" ht="12" customHeight="1"/>
    <row r="2" ht="6" customHeight="1" spans="2:10">
      <c r="B2" s="2"/>
      <c r="C2" s="3"/>
      <c r="D2" s="3"/>
      <c r="E2" s="3"/>
      <c r="F2" s="3"/>
      <c r="G2" s="3"/>
      <c r="H2" s="3"/>
      <c r="I2" s="3"/>
      <c r="J2" s="4"/>
    </row>
    <row r="3" ht="57" customHeight="1" spans="2:10">
      <c r="B3" s="5"/>
      <c r="C3" s="6"/>
      <c r="D3" s="7" t="s">
        <v>0</v>
      </c>
      <c r="E3" s="7"/>
      <c r="F3" s="8"/>
      <c r="G3" s="8"/>
      <c r="H3" s="9"/>
      <c r="I3" s="7"/>
      <c r="J3" s="10"/>
    </row>
    <row r="4" spans="2:10">
      <c r="B4" s="5"/>
      <c r="C4" s="11"/>
      <c r="D4" s="12" t="s">
        <v>1</v>
      </c>
      <c r="E4" s="12"/>
      <c r="F4" s="11"/>
      <c r="G4" s="11"/>
      <c r="H4" s="11"/>
      <c r="I4" s="11"/>
      <c r="J4" s="10"/>
    </row>
    <row r="5" ht="8.25" customHeight="1" spans="2:10">
      <c r="B5" s="5"/>
      <c r="C5" s="11"/>
      <c r="D5" s="11"/>
      <c r="E5" s="11"/>
      <c r="F5" s="11"/>
      <c r="G5" s="11"/>
      <c r="H5" s="11"/>
      <c r="I5" s="11"/>
      <c r="J5" s="10"/>
    </row>
    <row r="6" ht="25.5" spans="2:10">
      <c r="B6" s="5"/>
      <c r="C6" s="11"/>
      <c r="D6" s="13" t="s">
        <v>2</v>
      </c>
      <c r="E6" s="13"/>
      <c r="F6" s="13"/>
      <c r="G6" s="14"/>
      <c r="H6" s="11"/>
      <c r="I6" s="11"/>
      <c r="J6" s="10"/>
    </row>
    <row r="7" ht="3.75" customHeight="1" spans="2:10">
      <c r="B7" s="5"/>
      <c r="C7" s="11"/>
      <c r="D7" s="11"/>
      <c r="E7" s="11"/>
      <c r="F7" s="11"/>
      <c r="G7" s="11"/>
      <c r="H7" s="11"/>
      <c r="I7" s="11"/>
      <c r="J7" s="10"/>
    </row>
    <row r="8" ht="19.5" spans="2:10">
      <c r="B8" s="5"/>
      <c r="C8" s="15" t="s">
        <v>3</v>
      </c>
      <c r="D8" s="16"/>
      <c r="E8" s="16"/>
      <c r="F8" s="16"/>
      <c r="G8" s="16"/>
      <c r="H8" s="16"/>
      <c r="I8" s="16"/>
      <c r="J8" s="10"/>
    </row>
    <row r="9" spans="2:10">
      <c r="B9" s="5"/>
      <c r="C9" s="17" t="s">
        <v>4</v>
      </c>
      <c r="D9" s="18">
        <v>20260506</v>
      </c>
      <c r="E9" s="18"/>
      <c r="F9" s="18"/>
      <c r="G9" s="18"/>
      <c r="H9" s="11"/>
      <c r="I9" s="11"/>
      <c r="J9" s="10"/>
    </row>
    <row r="10" spans="2:10">
      <c r="B10" s="5"/>
      <c r="C10" s="17" t="s">
        <v>5</v>
      </c>
      <c r="D10" s="19" t="s">
        <v>6</v>
      </c>
      <c r="E10" s="19"/>
      <c r="F10" s="20"/>
      <c r="G10" s="20"/>
      <c r="H10" s="20"/>
      <c r="I10" s="11"/>
      <c r="J10" s="10"/>
    </row>
    <row r="11" spans="2:10">
      <c r="B11" s="5"/>
      <c r="C11" s="17" t="s">
        <v>7</v>
      </c>
      <c r="D11" s="19"/>
      <c r="E11" s="19"/>
      <c r="F11" s="20"/>
      <c r="G11" s="20"/>
      <c r="H11" s="20"/>
      <c r="I11" s="11"/>
      <c r="J11" s="10"/>
    </row>
    <row r="12" spans="2:10">
      <c r="B12" s="5"/>
      <c r="C12" s="17" t="s">
        <v>8</v>
      </c>
      <c r="D12" s="19"/>
      <c r="E12" s="19"/>
      <c r="F12" s="20"/>
      <c r="G12" s="20"/>
      <c r="H12" s="20"/>
      <c r="I12" s="11"/>
      <c r="J12" s="10"/>
    </row>
    <row r="13" spans="2:10">
      <c r="B13" s="5"/>
      <c r="C13" s="17" t="s">
        <v>9</v>
      </c>
      <c r="D13" s="19" t="s">
        <v>10</v>
      </c>
      <c r="E13" s="19"/>
      <c r="F13" s="20"/>
      <c r="G13" s="20"/>
      <c r="H13" s="20"/>
      <c r="I13" s="11"/>
      <c r="J13" s="10"/>
    </row>
    <row r="14" ht="10.5" customHeight="1" spans="2:10">
      <c r="B14" s="5"/>
      <c r="C14" s="11"/>
      <c r="D14" s="11"/>
      <c r="E14" s="11"/>
      <c r="F14" s="11"/>
      <c r="G14" s="11"/>
      <c r="H14" s="11"/>
      <c r="I14" s="11"/>
      <c r="J14" s="10"/>
    </row>
    <row r="15" ht="33" spans="2:10">
      <c r="B15" s="5"/>
      <c r="C15" s="21" t="s">
        <v>11</v>
      </c>
      <c r="D15" s="22" t="s">
        <v>12</v>
      </c>
      <c r="E15" s="23" t="s">
        <v>13</v>
      </c>
      <c r="F15" s="23" t="s">
        <v>14</v>
      </c>
      <c r="G15" s="24"/>
      <c r="H15" s="25" t="s">
        <v>15</v>
      </c>
      <c r="I15" s="23" t="s">
        <v>16</v>
      </c>
      <c r="J15" s="26"/>
    </row>
    <row r="16" spans="2:10">
      <c r="B16" s="5"/>
      <c r="C16" s="27" t="s">
        <v>17</v>
      </c>
      <c r="D16" s="27">
        <v>100</v>
      </c>
      <c r="E16" s="28">
        <v>500</v>
      </c>
      <c r="F16" s="28">
        <v>15</v>
      </c>
      <c r="G16" s="29"/>
      <c r="H16" s="30">
        <f>E16*F16</f>
        <v>7500</v>
      </c>
      <c r="I16" s="30">
        <f t="shared" ref="I16:I18" si="0">H16*0.06</f>
        <v>450</v>
      </c>
      <c r="J16" s="26"/>
    </row>
    <row r="17" spans="2:10">
      <c r="B17" s="5"/>
      <c r="C17" s="27"/>
      <c r="D17" s="31"/>
      <c r="E17" s="32"/>
      <c r="F17" s="28"/>
      <c r="G17" s="29"/>
      <c r="H17" s="33"/>
      <c r="I17" s="30"/>
      <c r="J17" s="10"/>
    </row>
    <row r="18" spans="2:10">
      <c r="B18" s="5"/>
      <c r="C18" s="31"/>
      <c r="D18" s="31"/>
      <c r="E18" s="32"/>
      <c r="F18" s="32"/>
      <c r="G18" s="34"/>
      <c r="H18" s="33"/>
      <c r="I18" s="30"/>
      <c r="J18" s="10"/>
    </row>
    <row r="19" ht="17.25" spans="2:10">
      <c r="B19" s="5"/>
      <c r="C19" s="35" t="s">
        <v>18</v>
      </c>
      <c r="D19" s="35">
        <f>SUM(D16:D18)</f>
        <v>100</v>
      </c>
      <c r="E19" s="36"/>
      <c r="F19" s="37"/>
      <c r="G19" s="38"/>
      <c r="H19" s="39">
        <f>SUM(H16:H18)</f>
        <v>7500</v>
      </c>
      <c r="I19" s="39">
        <f>SUM(I16:I18)</f>
        <v>450</v>
      </c>
      <c r="J19" s="10"/>
    </row>
    <row r="20" ht="17.25" spans="2:10">
      <c r="B20" s="5"/>
      <c r="C20" s="40" t="s">
        <v>19</v>
      </c>
      <c r="D20" s="40"/>
      <c r="E20" s="40"/>
      <c r="F20" s="41">
        <f>SUM(H19:I19)</f>
        <v>7950</v>
      </c>
      <c r="G20" s="41"/>
      <c r="H20" s="41"/>
      <c r="I20" s="41"/>
      <c r="J20" s="10"/>
    </row>
    <row r="21" spans="2:10">
      <c r="B21" s="5"/>
      <c r="C21" s="42" t="s">
        <v>20</v>
      </c>
      <c r="D21" s="11"/>
      <c r="E21" s="11"/>
      <c r="F21" s="11"/>
      <c r="G21" s="11"/>
      <c r="H21" s="11"/>
      <c r="I21" s="11"/>
      <c r="J21" s="10"/>
    </row>
    <row r="22" ht="99" customHeight="1" spans="2:10">
      <c r="B22" s="5"/>
      <c r="C22" s="43" t="s">
        <v>21</v>
      </c>
      <c r="D22" s="43"/>
      <c r="E22" s="43"/>
      <c r="F22" s="43"/>
      <c r="G22" s="43"/>
      <c r="H22" s="43"/>
      <c r="I22" s="43"/>
      <c r="J22" s="10"/>
    </row>
    <row r="23" ht="1" customHeight="1" spans="2:10">
      <c r="B23" s="5"/>
      <c r="C23" s="43"/>
      <c r="D23" s="43"/>
      <c r="E23" s="43"/>
      <c r="F23" s="43"/>
      <c r="G23" s="43"/>
      <c r="H23" s="43"/>
      <c r="I23" s="43"/>
      <c r="J23" s="10"/>
    </row>
    <row r="24" ht="64.5" customHeight="1" spans="2:10">
      <c r="B24" s="5"/>
      <c r="C24" s="43"/>
      <c r="D24" s="43"/>
      <c r="E24" s="43"/>
      <c r="F24" s="43"/>
      <c r="G24" s="43"/>
      <c r="H24" s="43"/>
      <c r="I24" s="43"/>
      <c r="J24" s="10"/>
    </row>
    <row r="25" ht="5.25" customHeight="1" spans="2:10">
      <c r="B25" s="5"/>
      <c r="C25" s="44"/>
      <c r="D25" s="11"/>
      <c r="E25" s="11"/>
      <c r="F25" s="11"/>
      <c r="G25" s="11"/>
      <c r="H25" s="11"/>
      <c r="I25" s="11"/>
      <c r="J25" s="10"/>
    </row>
    <row r="26" ht="6.75" customHeight="1" spans="2:10">
      <c r="B26" s="5"/>
      <c r="C26" s="11"/>
      <c r="D26" s="11"/>
      <c r="E26" s="11"/>
      <c r="F26" s="11"/>
      <c r="H26" s="11"/>
      <c r="I26" s="11"/>
      <c r="J26" s="10"/>
    </row>
    <row r="27" ht="64.5" customHeight="1" spans="2:10">
      <c r="B27" s="5"/>
      <c r="C27" s="11" t="s">
        <v>22</v>
      </c>
      <c r="D27" s="11"/>
      <c r="E27" s="11"/>
      <c r="F27" s="11"/>
      <c r="G27" s="11" t="s">
        <v>23</v>
      </c>
      <c r="H27" s="11"/>
      <c r="I27" s="11"/>
      <c r="J27" s="10"/>
    </row>
    <row r="28" spans="2:10">
      <c r="B28" s="5"/>
      <c r="C28" s="11"/>
      <c r="D28" s="11"/>
      <c r="E28" s="11"/>
      <c r="F28" s="11"/>
      <c r="G28" s="11"/>
      <c r="H28" s="11"/>
      <c r="I28" s="11"/>
      <c r="J28" s="10"/>
    </row>
    <row r="29" spans="2:10">
      <c r="B29" s="5"/>
      <c r="C29" s="11"/>
      <c r="D29" s="11"/>
      <c r="E29" s="11"/>
      <c r="F29" s="11"/>
      <c r="H29" s="11"/>
      <c r="I29" s="11"/>
      <c r="J29" s="10"/>
    </row>
    <row r="30" ht="29.25" customHeight="1" spans="2:10">
      <c r="B30" s="45"/>
      <c r="C30" s="46"/>
      <c r="D30" s="46"/>
      <c r="E30" s="46"/>
      <c r="F30" s="46"/>
      <c r="G30" s="46"/>
      <c r="H30" s="46"/>
      <c r="I30" s="46"/>
      <c r="J30" s="47"/>
    </row>
  </sheetData>
  <mergeCells count="9">
    <mergeCell ref="D9:G9"/>
    <mergeCell ref="F15:G15"/>
    <mergeCell ref="F16:G16"/>
    <mergeCell ref="F17:G17"/>
    <mergeCell ref="F18:G18"/>
    <mergeCell ref="C20:D20"/>
    <mergeCell ref="F20:I20"/>
    <mergeCell ref="C22:I22"/>
    <mergeCell ref="C23:I23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</dc:creator>
  <cp:lastModifiedBy>DQ</cp:lastModifiedBy>
  <dcterms:created xsi:type="dcterms:W3CDTF">2021-05-08T01:04:00Z</dcterms:created>
  <cp:lastPrinted>2022-04-08T01:47:00Z</cp:lastPrinted>
  <dcterms:modified xsi:type="dcterms:W3CDTF">2026-05-06T07:42:30Z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58BE3093B91440788FFFE9D3E0EA3539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