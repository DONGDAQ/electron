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<sst xmlns="http://schemas.openxmlformats.org/spreadsheetml/2006/main" count="40" uniqueCount="39">
  <si>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r>
      <rPr>
        <b/>
        <sz val="14"/>
        <rFont val="DengXian"/>
        <charset val="134"/>
      </rPr>
      <t>大连游者之家信息技术有限公司</t>
    </r>
    <r>
      <rPr>
        <b/>
        <sz val="14"/>
        <rFont val="宋体"/>
        <charset val="134"/>
      </rPr>
      <t xml:space="preserve">
</t>
    </r>
    <r>
      <rPr>
        <b/>
        <sz val="14"/>
        <rFont val="Calibri"/>
        <charset val="134"/>
      </rPr>
      <t>Dalian Gamer House information technology company</t>
    </r>
  </si>
  <si>
    <t>Contact</t>
  </si>
  <si>
    <t>Address:</t>
  </si>
  <si>
    <r>
      <rPr>
        <b/>
        <sz val="12"/>
        <rFont val="Calibri"/>
        <charset val="134"/>
      </rPr>
      <t>TEL</t>
    </r>
    <r>
      <rPr>
        <b/>
        <sz val="12"/>
        <rFont val="細明體"/>
        <charset val="134"/>
      </rPr>
      <t>：</t>
    </r>
    <r>
      <rPr>
        <b/>
        <sz val="12"/>
        <rFont val="Calibri"/>
        <charset val="134"/>
      </rPr>
      <t>13654287085</t>
    </r>
  </si>
  <si>
    <t xml:space="preserve">Unit 07, 7 / F, </t>
  </si>
  <si>
    <r>
      <rPr>
        <b/>
        <sz val="12"/>
        <rFont val="Calibri"/>
        <charset val="134"/>
      </rPr>
      <t>FAX</t>
    </r>
    <r>
      <rPr>
        <b/>
        <sz val="12"/>
        <rFont val="細明體"/>
        <charset val="134"/>
      </rPr>
      <t>：</t>
    </r>
  </si>
  <si>
    <t>Haichuang international industrial building,</t>
  </si>
  <si>
    <t xml:space="preserve"> 533 Huangpu Road, Dalian high tech Industrial Park, </t>
  </si>
  <si>
    <t xml:space="preserve"> Liaoning Province</t>
  </si>
  <si>
    <t>INVOICE</t>
  </si>
  <si>
    <t>************************************************************************************</t>
  </si>
  <si>
    <t>Invoice Date</t>
  </si>
  <si>
    <t>Invoice No.</t>
  </si>
  <si>
    <t>Due Date</t>
  </si>
  <si>
    <r>
      <rPr>
        <b/>
        <sz val="12"/>
        <rFont val="Calibri"/>
        <charset val="134"/>
      </rPr>
      <t>Sold To Messrs</t>
    </r>
    <r>
      <rPr>
        <b/>
        <sz val="12"/>
        <rFont val="新細明體"/>
        <charset val="134"/>
      </rPr>
      <t>：</t>
    </r>
  </si>
  <si>
    <t>4399 NET LIMITED</t>
  </si>
  <si>
    <t>To Address:</t>
  </si>
  <si>
    <t>Level 54, Hopewell Centre, 183 Queen's Road East, Hong Kong</t>
  </si>
  <si>
    <t>No.</t>
  </si>
  <si>
    <t>描述</t>
  </si>
  <si>
    <t>原币种</t>
  </si>
  <si>
    <t>应收结算</t>
  </si>
  <si>
    <t>发票总额</t>
  </si>
  <si>
    <t>冒险大作战本地化翻译服务</t>
  </si>
  <si>
    <t>美元</t>
  </si>
  <si>
    <t>合计（含税）</t>
  </si>
  <si>
    <t>请于收到纸质invoice后30天内，以美金汇入以下指定账户 ，汇款方支付汇费：</t>
  </si>
  <si>
    <r>
      <rPr>
        <sz val="11"/>
        <rFont val="宋体"/>
        <charset val="134"/>
      </rPr>
      <t>银行名称</t>
    </r>
    <r>
      <rPr>
        <sz val="11"/>
        <rFont val="Calibri"/>
        <charset val="134"/>
      </rPr>
      <t>:</t>
    </r>
  </si>
  <si>
    <t>The Industrial＆Commercial Bank of China Dalian</t>
  </si>
  <si>
    <r>
      <rPr>
        <sz val="11"/>
        <rFont val="宋体"/>
        <charset val="134"/>
      </rPr>
      <t>公司名称</t>
    </r>
    <r>
      <rPr>
        <sz val="11"/>
        <rFont val="Calibri"/>
        <charset val="134"/>
      </rPr>
      <t>:</t>
    </r>
  </si>
  <si>
    <t>Dalian Gamer House information technology company</t>
  </si>
  <si>
    <r>
      <rPr>
        <sz val="11"/>
        <rFont val="宋体"/>
        <charset val="134"/>
      </rPr>
      <t>银行账号</t>
    </r>
    <r>
      <rPr>
        <sz val="11"/>
        <rFont val="Calibri"/>
        <charset val="134"/>
      </rPr>
      <t>:</t>
    </r>
  </si>
  <si>
    <t>3400073009140005224</t>
  </si>
  <si>
    <t>SWIFT CODE:</t>
  </si>
  <si>
    <t>ICBKCNBJDLN</t>
  </si>
  <si>
    <r>
      <rPr>
        <sz val="11"/>
        <rFont val="宋体"/>
        <charset val="134"/>
      </rPr>
      <t>银行地址</t>
    </r>
    <r>
      <rPr>
        <sz val="11"/>
        <rFont val="Calibri"/>
        <charset val="134"/>
      </rPr>
      <t>:</t>
    </r>
  </si>
  <si>
    <t>NO.3 GAOXIN STREET GAOXIN DISTRICT DALIAN CHINA</t>
  </si>
  <si>
    <t xml:space="preserve">公司地址: 
1104, Ho Yi Building, 6 Aixian Street, Qixianling, Dalian High-tech Industrial Park, Liaoning Province </t>
  </si>
  <si>
    <t>Dalian Gamer 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</si>
</sst>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yyyy/m/d;@"/>
    <numFmt numFmtId="178" formatCode="_ * #,##0_ ;_ * \-#,##0_ ;_ * &quot;-&quot;??_ ;_ @_ "/>
  </numFmts>
  <fonts count="54">
    <font>
      <sz val="12"/>
      <color theme="1"/>
      <name val="Adobe 仿宋 Std R"/>
      <charset val="134"/>
    </font>
    <font>
      <sz val="11"/>
      <color theme="1"/>
      <name val="Calibri"/>
      <charset val="134"/>
    </font>
    <font>
      <b/>
      <sz val="14"/>
      <name val="DengXian"/>
      <charset val="134"/>
    </font>
    <font>
      <b/>
      <sz val="14"/>
      <name val="Calibri"/>
      <charset val="134"/>
    </font>
    <font>
      <sz val="12"/>
      <name val="Calibri"/>
      <charset val="134"/>
    </font>
    <font>
      <b/>
      <sz val="12"/>
      <name val="Calibri"/>
      <charset val="134"/>
    </font>
    <font>
      <b/>
      <sz val="11"/>
      <color theme="1"/>
      <name val="Calibri"/>
      <charset val="134"/>
    </font>
    <font>
      <sz val="9"/>
      <name val="Calibri"/>
      <charset val="134"/>
    </font>
    <font>
      <sz val="8"/>
      <color indexed="8"/>
      <name val="Calibri"/>
      <charset val="134"/>
    </font>
    <font>
      <b/>
      <sz val="20"/>
      <name val="Calibri"/>
      <charset val="134"/>
    </font>
    <font>
      <sz val="11"/>
      <color indexed="8"/>
      <name val="Calibri"/>
      <charset val="134"/>
    </font>
    <font>
      <b/>
      <u/>
      <sz val="11"/>
      <color theme="3"/>
      <name val="Calibri"/>
      <charset val="134"/>
    </font>
    <font>
      <b/>
      <sz val="12"/>
      <color theme="3"/>
      <name val="Calibri"/>
      <charset val="134"/>
    </font>
    <font>
      <sz val="11"/>
      <color theme="1"/>
      <name val="Microsoft YaHei"/>
      <charset val="134"/>
    </font>
    <font>
      <b/>
      <sz val="12"/>
      <name val="Microsoft YaHei"/>
      <charset val="134"/>
    </font>
    <font>
      <sz val="10"/>
      <color indexed="8"/>
      <name val="Calibri"/>
      <charset val="134"/>
    </font>
    <font>
      <b/>
      <sz val="10"/>
      <color theme="4"/>
      <name val="Microsoft YaHei"/>
      <charset val="134"/>
    </font>
    <font>
      <b/>
      <u/>
      <sz val="12"/>
      <name val="Calibri"/>
      <charset val="134"/>
    </font>
    <font>
      <b/>
      <u/>
      <sz val="12"/>
      <name val="DengXian"/>
      <charset val="134"/>
    </font>
    <font>
      <u/>
      <sz val="11"/>
      <color theme="1"/>
      <name val="Calibri"/>
      <charset val="134"/>
    </font>
    <font>
      <b/>
      <sz val="12"/>
      <name val="DengXian"/>
      <charset val="134"/>
    </font>
    <font>
      <sz val="11"/>
      <name val="Calibri"/>
      <charset val="134"/>
    </font>
    <font>
      <sz val="10"/>
      <name val="Calibri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</font>
    <font>
      <b/>
      <sz val="11"/>
      <color indexed="8"/>
      <name val="Calibri"/>
      <charset val="134"/>
    </font>
    <font>
      <b/>
      <sz val="10"/>
      <color theme="3"/>
      <name val="宋体"/>
      <charset val="134"/>
    </font>
    <font>
      <sz val="10"/>
      <color theme="1"/>
      <name val="Calibri"/>
      <charset val="134"/>
    </font>
    <font>
      <sz val="11"/>
      <color theme="1"/>
      <name val="DengXi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2"/>
      <name val="細明體"/>
      <charset val="134"/>
    </font>
    <font>
      <sz val="11"/>
      <name val="宋体"/>
      <charset val="134"/>
    </font>
    <font>
      <b/>
      <sz val="12"/>
      <name val="新細明體"/>
      <charset val="134"/>
    </font>
    <font>
      <b/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>
      <alignment vertical="center"/>
    </xf>
    <xf numFmtId="0" fontId="37" fillId="0" borderId="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" borderId="7" applyNumberFormat="0" applyAlignment="0" applyProtection="0">
      <alignment vertical="center"/>
    </xf>
    <xf numFmtId="0" fontId="39" fillId="4" borderId="8" applyNumberFormat="0" applyAlignment="0" applyProtection="0">
      <alignment vertical="center"/>
    </xf>
    <xf numFmtId="0" fontId="40" fillId="4" borderId="7" applyNumberFormat="0" applyAlignment="0" applyProtection="0">
      <alignment vertical="center"/>
    </xf>
    <xf numFmtId="0" fontId="41" fillId="5" borderId="9" applyNumberFormat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Fill="1" applyBorder="1" applyAlignment="1" applyProtection="1">
      <protection locked="0"/>
    </xf>
    <xf numFmtId="0" fontId="1" fillId="0" borderId="0" xfId="0" applyFont="1" applyFill="1" applyAlignment="1" applyProtection="1">
      <protection locked="0"/>
    </xf>
    <xf numFmtId="9" fontId="1" fillId="0" borderId="0" xfId="49" applyFont="1" applyAlignment="1" applyProtection="1">
      <protection locked="0"/>
    </xf>
    <xf numFmtId="9" fontId="1" fillId="0" borderId="0" xfId="49" applyFont="1" applyAlignment="1" applyProtection="1">
      <alignment horizontal="center"/>
      <protection locked="0"/>
    </xf>
    <xf numFmtId="43" fontId="1" fillId="0" borderId="0" xfId="1" applyFont="1" applyAlignment="1" applyProtection="1">
      <protection locked="0"/>
    </xf>
    <xf numFmtId="0" fontId="2" fillId="0" borderId="0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9" fontId="5" fillId="0" borderId="0" xfId="49" applyFont="1" applyBorder="1" applyAlignment="1" applyProtection="1">
      <protection locked="0"/>
    </xf>
    <xf numFmtId="43" fontId="7" fillId="0" borderId="0" xfId="1" applyFont="1" applyBorder="1" applyAlignment="1" applyProtection="1">
      <protection locked="0"/>
    </xf>
    <xf numFmtId="43" fontId="7" fillId="0" borderId="0" xfId="1" applyFont="1" applyBorder="1" applyAlignment="1" applyProtection="1">
      <alignment horizontal="right"/>
      <protection locked="0"/>
    </xf>
    <xf numFmtId="43" fontId="1" fillId="0" borderId="0" xfId="1" applyFont="1" applyBorder="1" applyAlignment="1" applyProtection="1">
      <protection locked="0"/>
    </xf>
    <xf numFmtId="0" fontId="4" fillId="0" borderId="0" xfId="0" applyFont="1" applyFill="1" applyBorder="1" applyAlignment="1" applyProtection="1">
      <protection locked="0"/>
    </xf>
    <xf numFmtId="9" fontId="1" fillId="0" borderId="0" xfId="49" applyFont="1" applyBorder="1" applyAlignment="1" applyProtection="1">
      <alignment horizontal="left"/>
      <protection locked="0"/>
    </xf>
    <xf numFmtId="9" fontId="8" fillId="0" borderId="0" xfId="49" applyFont="1" applyBorder="1" applyAlignment="1" applyProtection="1">
      <protection locked="0"/>
    </xf>
    <xf numFmtId="9" fontId="8" fillId="0" borderId="0" xfId="49" applyFont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center"/>
      <protection locked="0"/>
    </xf>
    <xf numFmtId="9" fontId="1" fillId="0" borderId="0" xfId="49" applyFont="1" applyBorder="1" applyAlignment="1" applyProtection="1">
      <protection locked="0"/>
    </xf>
    <xf numFmtId="9" fontId="1" fillId="0" borderId="0" xfId="49" applyFont="1" applyBorder="1" applyAlignment="1" applyProtection="1">
      <alignment horizontal="center"/>
      <protection locked="0"/>
    </xf>
    <xf numFmtId="43" fontId="10" fillId="0" borderId="0" xfId="1" applyFont="1" applyBorder="1" applyAlignment="1" applyProtection="1">
      <protection locked="0"/>
    </xf>
    <xf numFmtId="15" fontId="11" fillId="0" borderId="0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Fill="1" applyBorder="1" applyAlignment="1" applyProtection="1">
      <protection locked="0"/>
    </xf>
    <xf numFmtId="0" fontId="13" fillId="0" borderId="0" xfId="0" applyFont="1" applyFill="1" applyBorder="1" applyAlignment="1" applyProtection="1">
      <protection locked="0"/>
    </xf>
    <xf numFmtId="0" fontId="14" fillId="0" borderId="0" xfId="0" applyFont="1" applyFill="1" applyBorder="1" applyAlignment="1" applyProtection="1">
      <protection locked="0"/>
    </xf>
    <xf numFmtId="0" fontId="5" fillId="0" borderId="0" xfId="0" applyFont="1" applyFill="1" applyAlignment="1" applyProtection="1">
      <alignment vertical="top"/>
      <protection locked="0"/>
    </xf>
    <xf numFmtId="0" fontId="15" fillId="0" borderId="0" xfId="0" applyFont="1" applyFill="1" applyBorder="1" applyAlignment="1" applyProtection="1">
      <protection locked="0"/>
    </xf>
    <xf numFmtId="0" fontId="16" fillId="0" borderId="0" xfId="0" applyFont="1" applyFill="1" applyAlignment="1" applyProtection="1">
      <alignment horizontal="left" vertical="top" wrapText="1"/>
      <protection locked="0"/>
    </xf>
    <xf numFmtId="0" fontId="17" fillId="0" borderId="0" xfId="0" applyFont="1" applyFill="1" applyBorder="1" applyAlignment="1" applyProtection="1">
      <protection locked="0"/>
    </xf>
    <xf numFmtId="0" fontId="18" fillId="0" borderId="0" xfId="0" applyFont="1" applyFill="1" applyBorder="1" applyAlignment="1" applyProtection="1">
      <protection locked="0"/>
    </xf>
    <xf numFmtId="0" fontId="19" fillId="0" borderId="0" xfId="0" applyFont="1" applyFill="1" applyAlignment="1" applyProtection="1">
      <protection locked="0"/>
    </xf>
    <xf numFmtId="0" fontId="17" fillId="0" borderId="0" xfId="0" applyFont="1" applyFill="1" applyBorder="1" applyAlignment="1" applyProtection="1">
      <alignment horizontal="center"/>
      <protection locked="0"/>
    </xf>
    <xf numFmtId="43" fontId="17" fillId="0" borderId="0" xfId="1" applyFont="1" applyBorder="1" applyAlignment="1" applyProtection="1">
      <alignment horizontal="center"/>
      <protection locked="0"/>
    </xf>
    <xf numFmtId="0" fontId="20" fillId="0" borderId="0" xfId="0" applyFont="1" applyFill="1" applyAlignment="1" applyProtection="1">
      <alignment horizontal="center"/>
      <protection locked="0"/>
    </xf>
    <xf numFmtId="0" fontId="20" fillId="0" borderId="0" xfId="0" applyFont="1" applyFill="1" applyBorder="1" applyAlignment="1" applyProtection="1">
      <alignment horizontal="center"/>
      <protection locked="0"/>
    </xf>
    <xf numFmtId="43" fontId="21" fillId="0" borderId="0" xfId="1" applyFont="1" applyFill="1" applyBorder="1" applyAlignment="1" applyProtection="1">
      <alignment horizontal="left"/>
      <protection locked="0"/>
    </xf>
    <xf numFmtId="0" fontId="22" fillId="0" borderId="0" xfId="0" applyFont="1" applyFill="1" applyBorder="1" applyAlignment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23" fillId="0" borderId="0" xfId="0" applyFont="1" applyFill="1" applyBorder="1" applyAlignment="1" applyProtection="1">
      <protection locked="0"/>
    </xf>
    <xf numFmtId="9" fontId="21" fillId="0" borderId="0" xfId="49" applyFont="1" applyBorder="1" applyAlignment="1" applyProtection="1">
      <alignment horizontal="center"/>
      <protection locked="0"/>
    </xf>
    <xf numFmtId="176" fontId="21" fillId="0" borderId="0" xfId="0" applyNumberFormat="1" applyFont="1" applyFill="1" applyBorder="1" applyAlignment="1" applyProtection="1">
      <protection locked="0"/>
    </xf>
    <xf numFmtId="0" fontId="23" fillId="0" borderId="1" xfId="0" applyFont="1" applyFill="1" applyBorder="1" applyAlignment="1" applyProtection="1">
      <protection locked="0"/>
    </xf>
    <xf numFmtId="0" fontId="4" fillId="0" borderId="1" xfId="0" applyFont="1" applyFill="1" applyBorder="1" applyAlignment="1" applyProtection="1">
      <protection locked="0"/>
    </xf>
    <xf numFmtId="9" fontId="21" fillId="0" borderId="1" xfId="49" applyFont="1" applyBorder="1" applyAlignment="1" applyProtection="1">
      <alignment horizontal="center"/>
      <protection locked="0"/>
    </xf>
    <xf numFmtId="9" fontId="1" fillId="0" borderId="1" xfId="49" applyFont="1" applyBorder="1" applyAlignment="1" applyProtection="1">
      <alignment horizontal="center"/>
      <protection locked="0"/>
    </xf>
    <xf numFmtId="176" fontId="21" fillId="0" borderId="1" xfId="0" applyNumberFormat="1" applyFont="1" applyFill="1" applyBorder="1" applyAlignment="1" applyProtection="1">
      <protection locked="0"/>
    </xf>
    <xf numFmtId="43" fontId="21" fillId="0" borderId="1" xfId="1" applyFont="1" applyFill="1" applyBorder="1" applyAlignment="1" applyProtection="1">
      <alignment horizontal="center"/>
      <protection locked="0"/>
    </xf>
    <xf numFmtId="0" fontId="24" fillId="0" borderId="0" xfId="0" applyFont="1" applyFill="1" applyBorder="1" applyAlignment="1" applyProtection="1">
      <protection locked="0"/>
    </xf>
    <xf numFmtId="9" fontId="24" fillId="0" borderId="0" xfId="49" applyFont="1" applyBorder="1" applyAlignment="1" applyProtection="1">
      <alignment horizontal="center"/>
      <protection locked="0"/>
    </xf>
    <xf numFmtId="43" fontId="5" fillId="0" borderId="0" xfId="1" applyFont="1" applyBorder="1" applyAlignment="1" applyProtection="1">
      <protection locked="0"/>
    </xf>
    <xf numFmtId="0" fontId="25" fillId="0" borderId="1" xfId="0" applyFont="1" applyFill="1" applyBorder="1" applyAlignment="1" applyProtection="1">
      <protection locked="0"/>
    </xf>
    <xf numFmtId="0" fontId="6" fillId="0" borderId="1" xfId="0" applyFont="1" applyFill="1" applyBorder="1" applyAlignment="1" applyProtection="1">
      <protection locked="0"/>
    </xf>
    <xf numFmtId="9" fontId="6" fillId="0" borderId="0" xfId="49" applyFont="1" applyBorder="1" applyAlignment="1" applyProtection="1">
      <protection locked="0"/>
    </xf>
    <xf numFmtId="9" fontId="6" fillId="0" borderId="0" xfId="49" applyFont="1" applyBorder="1" applyAlignment="1" applyProtection="1">
      <alignment horizontal="center"/>
      <protection locked="0"/>
    </xf>
    <xf numFmtId="43" fontId="26" fillId="0" borderId="0" xfId="1" applyFont="1" applyBorder="1" applyAlignment="1" applyProtection="1">
      <protection locked="0"/>
    </xf>
    <xf numFmtId="0" fontId="27" fillId="0" borderId="0" xfId="0" applyFont="1" applyFill="1" applyBorder="1" applyAlignment="1" applyProtection="1">
      <protection locked="0"/>
    </xf>
    <xf numFmtId="177" fontId="27" fillId="0" borderId="0" xfId="0" applyNumberFormat="1" applyFont="1" applyFill="1" applyBorder="1" applyAlignment="1" applyProtection="1">
      <alignment horizontal="left"/>
      <protection locked="0"/>
    </xf>
    <xf numFmtId="9" fontId="28" fillId="0" borderId="0" xfId="49" applyFont="1" applyBorder="1" applyAlignment="1" applyProtection="1">
      <protection locked="0"/>
    </xf>
    <xf numFmtId="9" fontId="28" fillId="0" borderId="0" xfId="49" applyFont="1" applyBorder="1" applyAlignment="1" applyProtection="1">
      <alignment horizontal="center"/>
      <protection locked="0"/>
    </xf>
    <xf numFmtId="43" fontId="28" fillId="0" borderId="0" xfId="1" applyFont="1" applyBorder="1" applyAlignment="1" applyProtection="1">
      <protection locked="0"/>
    </xf>
    <xf numFmtId="0" fontId="21" fillId="0" borderId="0" xfId="0" applyFont="1" applyFill="1" applyBorder="1" applyAlignment="1" applyProtection="1">
      <protection locked="0"/>
    </xf>
    <xf numFmtId="0" fontId="29" fillId="0" borderId="0" xfId="0" applyFont="1" applyFill="1" applyBorder="1" applyAlignment="1" applyProtection="1">
      <protection locked="0"/>
    </xf>
    <xf numFmtId="49" fontId="1" fillId="0" borderId="0" xfId="0" applyNumberFormat="1" applyFont="1" applyFill="1" applyBorder="1" applyAlignment="1" applyProtection="1">
      <protection locked="0"/>
    </xf>
    <xf numFmtId="178" fontId="1" fillId="0" borderId="0" xfId="49" applyNumberFormat="1" applyFont="1" applyBorder="1" applyAlignment="1" applyProtection="1">
      <protection locked="0"/>
    </xf>
    <xf numFmtId="0" fontId="21" fillId="0" borderId="0" xfId="0" applyFont="1" applyFill="1" applyBorder="1" applyAlignment="1" applyProtection="1">
      <alignment horizontal="left"/>
      <protection locked="0"/>
    </xf>
    <xf numFmtId="0" fontId="21" fillId="0" borderId="0" xfId="0" applyFont="1" applyFill="1" applyAlignment="1" applyProtection="1">
      <alignment wrapText="1"/>
      <protection locked="0"/>
    </xf>
    <xf numFmtId="0" fontId="21" fillId="0" borderId="0" xfId="0" applyFont="1" applyFill="1" applyAlignment="1" applyProtection="1">
      <protection locked="0"/>
    </xf>
    <xf numFmtId="0" fontId="5" fillId="0" borderId="2" xfId="0" applyFont="1" applyFill="1" applyBorder="1" applyAlignment="1" applyProtection="1">
      <alignment horizontal="right" wrapText="1"/>
      <protection locked="0"/>
    </xf>
    <xf numFmtId="0" fontId="5" fillId="0" borderId="3" xfId="0" applyFont="1" applyFill="1" applyBorder="1" applyAlignment="1" applyProtection="1">
      <alignment horizontal="right" wrapText="1"/>
      <protection locked="0"/>
    </xf>
    <xf numFmtId="43" fontId="6" fillId="0" borderId="0" xfId="1" applyFont="1" applyBorder="1" applyAlignment="1" applyProtection="1">
      <alignment horizontal="center"/>
      <protection locked="0"/>
    </xf>
    <xf numFmtId="9" fontId="5" fillId="0" borderId="0" xfId="49" applyFont="1" applyBorder="1" applyAlignment="1" applyProtection="1">
      <alignment horizontal="center"/>
      <protection locked="0"/>
    </xf>
    <xf numFmtId="9" fontId="10" fillId="0" borderId="0" xfId="49" applyFont="1" applyBorder="1" applyAlignment="1" applyProtection="1">
      <protection locked="0"/>
    </xf>
    <xf numFmtId="9" fontId="10" fillId="0" borderId="0" xfId="49" applyFont="1" applyBorder="1" applyAlignment="1" applyProtection="1">
      <alignment horizont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476250</xdr:colOff>
      <xdr:row>18</xdr:row>
      <xdr:rowOff>104775</xdr:rowOff>
    </xdr:from>
    <xdr:to>
      <xdr:col>6</xdr:col>
      <xdr:colOff>655955</xdr:colOff>
      <xdr:row>27</xdr:row>
      <xdr:rowOff>74295</xdr:rowOff>
    </xdr:to>
    <xdr:pic>
      <xdr:nvPicPr>
        <xdr:cNvPr id="2" name="图片 1" descr="微信图片_20250801111410_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6950" y="4079875"/>
          <a:ext cx="2084705" cy="179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48"/>
  <sheetViews>
    <sheetView tabSelected="1" topLeftCell="A8" workbookViewId="0">
      <selection activeCell="C19" sqref="C19:D19"/>
    </sheetView>
  </sheetViews>
  <sheetFormatPr defaultColWidth="7.2" defaultRowHeight="15"/>
  <cols>
    <col min="1" max="1" width="2.3" style="1" customWidth="1"/>
    <col min="2" max="2" width="2.6" style="2" customWidth="1"/>
    <col min="3" max="3" width="13.9" style="2" customWidth="1"/>
    <col min="4" max="4" width="9.8" style="2" customWidth="1"/>
    <col min="5" max="5" width="7.3" style="3" customWidth="1"/>
    <col min="6" max="6" width="2.9" style="4" customWidth="1"/>
    <col min="7" max="7" width="10.3" style="5" customWidth="1"/>
    <col min="8" max="8" width="13.8" style="5" customWidth="1"/>
    <col min="9" max="9" width="3.1" style="1" customWidth="1"/>
    <col min="10" max="10" width="7.3" style="1" customWidth="1"/>
    <col min="11" max="16384" width="7.2" style="1"/>
  </cols>
  <sheetData>
    <row r="1" s="1" customFormat="1" ht="34" customHeight="1" spans="2:10">
      <c r="B1" s="6" t="s">
        <v>0</v>
      </c>
      <c r="C1" s="7"/>
      <c r="D1" s="7"/>
      <c r="E1" s="7"/>
      <c r="F1" s="7"/>
      <c r="G1" s="7"/>
      <c r="H1" s="7"/>
    </row>
    <row r="2" s="1" customFormat="1" ht="15.75" spans="2:10">
      <c r="B2" s="8"/>
      <c r="C2" s="8"/>
      <c r="D2" s="8"/>
      <c r="E2" s="8"/>
      <c r="F2" s="8"/>
      <c r="G2" s="8"/>
      <c r="H2" s="8"/>
    </row>
    <row r="3" s="1" customFormat="1" ht="15.75" spans="2:10">
      <c r="B3" s="9" t="s">
        <v>1</v>
      </c>
      <c r="C3" s="10"/>
      <c r="D3" s="1"/>
      <c r="E3" s="11" t="s">
        <v>2</v>
      </c>
      <c r="F3" s="11"/>
      <c r="G3" s="12"/>
      <c r="H3" s="13"/>
    </row>
    <row r="4" s="1" customFormat="1" ht="15.75" spans="2:10">
      <c r="B4" s="9" t="s">
        <v>3</v>
      </c>
      <c r="E4" s="1" t="s">
        <v>4</v>
      </c>
      <c r="F4" s="1"/>
      <c r="G4" s="12"/>
      <c r="H4" s="13"/>
    </row>
    <row r="5" s="1" customFormat="1" ht="15.75" spans="2:10">
      <c r="B5" s="9" t="s">
        <v>5</v>
      </c>
      <c r="E5" s="1" t="s">
        <v>6</v>
      </c>
      <c r="F5" s="1"/>
      <c r="G5" s="12"/>
      <c r="H5" s="13"/>
    </row>
    <row r="6" s="1" customFormat="1" ht="15.75" spans="2:10">
      <c r="B6" s="9"/>
      <c r="C6" s="1"/>
      <c r="D6" s="1"/>
      <c r="E6" s="1" t="s">
        <v>7</v>
      </c>
      <c r="F6" s="1"/>
      <c r="G6" s="14"/>
      <c r="H6" s="14"/>
    </row>
    <row r="7" s="1" customFormat="1" ht="15.75" spans="2:10">
      <c r="B7" s="15"/>
      <c r="C7" s="1"/>
      <c r="D7" s="1"/>
      <c r="E7" s="16" t="s">
        <v>8</v>
      </c>
      <c r="F7" s="16"/>
      <c r="G7" s="14"/>
      <c r="H7" s="14"/>
    </row>
    <row r="8" s="1" customFormat="1" ht="15.75" spans="2:10">
      <c r="B8" s="15"/>
      <c r="C8" s="1"/>
      <c r="D8" s="1"/>
      <c r="E8" s="17"/>
      <c r="F8" s="18"/>
      <c r="G8" s="14"/>
      <c r="H8" s="14"/>
    </row>
    <row r="9" s="1" customFormat="1" ht="24" customHeight="1" spans="2:10">
      <c r="B9" s="19" t="s">
        <v>9</v>
      </c>
      <c r="C9" s="19"/>
      <c r="D9" s="19"/>
      <c r="E9" s="19"/>
      <c r="F9" s="19"/>
      <c r="G9" s="19"/>
      <c r="H9" s="19"/>
    </row>
    <row r="10" s="1" customFormat="1" ht="15.75" spans="2:10">
      <c r="B10" s="20" t="s">
        <v>10</v>
      </c>
      <c r="C10" s="20"/>
      <c r="D10" s="20"/>
      <c r="E10" s="20"/>
      <c r="F10" s="20"/>
      <c r="G10" s="20"/>
      <c r="H10" s="20"/>
    </row>
    <row r="11" s="1" customFormat="1" ht="15.75" spans="2:10">
      <c r="B11" s="15"/>
      <c r="C11" s="1"/>
      <c r="D11" s="1"/>
      <c r="E11" s="21"/>
      <c r="F11" s="22"/>
      <c r="G11" s="23" t="s">
        <v>11</v>
      </c>
      <c r="H11" s="24">
        <v>46163</v>
      </c>
    </row>
    <row r="12" s="1" customFormat="1" ht="15.75" spans="2:10">
      <c r="B12" s="9" t="s">
        <v>12</v>
      </c>
      <c r="C12" s="1"/>
      <c r="D12" s="25" t="str">
        <f>TEXT(H11,"yyyymmDD")&amp;-1</f>
        <v>20260521-1</v>
      </c>
      <c r="E12" s="21"/>
      <c r="F12" s="22"/>
      <c r="G12" s="14" t="s">
        <v>13</v>
      </c>
      <c r="H12" s="24">
        <f>H11+30</f>
        <v>46193</v>
      </c>
    </row>
    <row r="13" s="1" customFormat="1" ht="18" spans="2:10">
      <c r="B13" s="9" t="s">
        <v>14</v>
      </c>
      <c r="C13" s="26"/>
      <c r="D13" s="27" t="s">
        <v>15</v>
      </c>
      <c r="E13" s="21"/>
      <c r="F13" s="22"/>
      <c r="G13" s="14"/>
      <c r="H13" s="14"/>
    </row>
    <row r="14" s="1" customFormat="1" ht="15.75" spans="2:10">
      <c r="B14" s="9" t="s">
        <v>16</v>
      </c>
      <c r="C14" s="1"/>
      <c r="D14" s="28" t="s">
        <v>17</v>
      </c>
      <c r="E14" s="28"/>
      <c r="F14" s="28"/>
      <c r="G14" s="28"/>
      <c r="H14" s="28"/>
      <c r="I14" s="28"/>
      <c r="J14" s="28"/>
    </row>
    <row r="15" s="1" customFormat="1" ht="15.75" spans="2:10">
      <c r="B15" s="9"/>
      <c r="C15" s="1"/>
      <c r="D15" s="28"/>
      <c r="E15" s="28"/>
      <c r="F15" s="28"/>
      <c r="G15" s="28"/>
      <c r="H15" s="28"/>
      <c r="I15" s="28"/>
      <c r="J15" s="28"/>
    </row>
    <row r="16" s="1" customFormat="1" ht="15.75" spans="2:10">
      <c r="B16" s="9"/>
      <c r="C16" s="1"/>
      <c r="D16" s="29"/>
      <c r="E16" s="21"/>
      <c r="F16" s="22"/>
      <c r="G16" s="14"/>
      <c r="H16" s="14"/>
    </row>
    <row r="17" s="1" customFormat="1" ht="16.5" spans="2:8">
      <c r="B17" s="30" t="str">
        <f>"结账月份："&amp;TEXT(EOMONTH(H11,-2)+1,"yyyy-mm-dd")&amp;" ~ "&amp;TEXT(EOMONTH(H11,-1),"yyyy-mm-dd")</f>
        <v>结账月份：2026-04-01 ~ 2026-04-30</v>
      </c>
      <c r="C17" s="30"/>
      <c r="D17" s="30"/>
      <c r="E17" s="30"/>
      <c r="F17" s="22"/>
      <c r="G17" s="14"/>
      <c r="H17" s="14"/>
    </row>
    <row r="18" s="1" customFormat="1" ht="15.75" spans="2:8">
      <c r="B18" s="31" t="s">
        <v>18</v>
      </c>
      <c r="C18" s="32" t="s">
        <v>19</v>
      </c>
      <c r="D18" s="33"/>
      <c r="E18" s="34" t="s">
        <v>20</v>
      </c>
      <c r="F18" s="4"/>
      <c r="G18" s="35" t="s">
        <v>21</v>
      </c>
      <c r="H18" s="35" t="s">
        <v>22</v>
      </c>
    </row>
    <row r="19" s="1" customFormat="1" ht="15.75" spans="2:8">
      <c r="B19" s="20">
        <v>1</v>
      </c>
      <c r="C19" s="36" t="s">
        <v>23</v>
      </c>
      <c r="D19" s="36"/>
      <c r="E19" s="37" t="s">
        <v>24</v>
      </c>
      <c r="F19" s="4"/>
      <c r="G19" s="38">
        <v>827.07622298066</v>
      </c>
      <c r="H19" s="38">
        <f>G19</f>
        <v>827.07622298066</v>
      </c>
    </row>
    <row r="20" s="1" customFormat="1" ht="15.75" spans="2:8">
      <c r="B20" s="20"/>
      <c r="C20" s="37"/>
      <c r="D20" s="2"/>
      <c r="E20" s="37"/>
      <c r="F20" s="4"/>
      <c r="G20" s="38"/>
      <c r="H20" s="38"/>
    </row>
    <row r="21" s="1" customFormat="1" ht="15.75" spans="2:8">
      <c r="B21" s="20"/>
      <c r="C21" s="39"/>
      <c r="D21" s="2"/>
      <c r="E21" s="40"/>
      <c r="F21" s="4"/>
      <c r="G21" s="38"/>
      <c r="H21" s="38"/>
    </row>
    <row r="22" s="1" customFormat="1" ht="15.75" spans="2:8">
      <c r="B22" s="20"/>
      <c r="C22" s="41"/>
      <c r="D22" s="2"/>
      <c r="E22" s="40"/>
      <c r="F22" s="4"/>
      <c r="G22" s="38"/>
      <c r="H22" s="38"/>
    </row>
    <row r="23" s="1" customFormat="1" ht="15.75" spans="2:8">
      <c r="B23" s="20"/>
      <c r="C23" s="41"/>
      <c r="D23" s="15"/>
      <c r="E23" s="42"/>
      <c r="F23" s="22"/>
      <c r="G23" s="43"/>
      <c r="H23" s="43"/>
    </row>
    <row r="24" s="1" customFormat="1" ht="16.5" spans="2:8">
      <c r="B24" s="20"/>
      <c r="C24" s="44"/>
      <c r="D24" s="45"/>
      <c r="E24" s="46"/>
      <c r="F24" s="47"/>
      <c r="G24" s="48"/>
      <c r="H24" s="49"/>
    </row>
    <row r="25" s="1" customFormat="1" ht="16.5" spans="2:8">
      <c r="B25" s="9"/>
      <c r="C25" s="50" t="s">
        <v>25</v>
      </c>
      <c r="D25" s="9"/>
      <c r="E25" s="51" t="s">
        <v>24</v>
      </c>
      <c r="F25" s="11"/>
      <c r="G25" s="52">
        <f>G19</f>
        <v>827.07622298066</v>
      </c>
      <c r="H25" s="52">
        <f>H19</f>
        <v>827.07622298066</v>
      </c>
    </row>
    <row r="26" s="1" customFormat="1" ht="16.5" spans="2:8">
      <c r="B26" s="31"/>
      <c r="C26" s="53"/>
      <c r="D26" s="54"/>
      <c r="E26" s="55"/>
      <c r="F26" s="56"/>
      <c r="G26" s="57"/>
      <c r="H26" s="14"/>
    </row>
    <row r="27" s="1" customFormat="1" ht="15.75" spans="2:8">
      <c r="B27" s="58" t="s">
        <v>26</v>
      </c>
      <c r="C27" s="59"/>
      <c r="D27" s="58"/>
      <c r="E27" s="60"/>
      <c r="F27" s="61"/>
      <c r="G27" s="62"/>
      <c r="H27" s="62"/>
    </row>
    <row r="28" s="1" customFormat="1" spans="2:8">
      <c r="B28" s="63" t="s">
        <v>27</v>
      </c>
      <c r="D28" s="64" t="s">
        <v>28</v>
      </c>
      <c r="E28" s="21"/>
      <c r="F28" s="22"/>
      <c r="G28" s="14"/>
      <c r="H28" s="14"/>
    </row>
    <row r="29" s="1" customFormat="1" spans="2:8">
      <c r="B29" s="63" t="s">
        <v>29</v>
      </c>
      <c r="D29" s="64" t="s">
        <v>30</v>
      </c>
      <c r="E29" s="21"/>
      <c r="F29" s="22"/>
      <c r="G29" s="14"/>
      <c r="H29" s="14"/>
    </row>
    <row r="30" s="1" customFormat="1" spans="2:8">
      <c r="B30" s="63" t="s">
        <v>31</v>
      </c>
      <c r="D30" s="65" t="s">
        <v>32</v>
      </c>
      <c r="E30" s="66"/>
      <c r="F30" s="22"/>
      <c r="G30" s="14"/>
      <c r="H30" s="14"/>
    </row>
    <row r="31" s="1" customFormat="1" spans="2:8">
      <c r="B31" s="67" t="s">
        <v>33</v>
      </c>
      <c r="C31" s="1"/>
      <c r="D31" s="1" t="s">
        <v>34</v>
      </c>
      <c r="E31" s="21"/>
      <c r="F31" s="22"/>
      <c r="G31" s="14"/>
      <c r="H31" s="14"/>
    </row>
    <row r="32" s="1" customFormat="1" spans="2:8">
      <c r="B32" s="63" t="s">
        <v>35</v>
      </c>
      <c r="D32" s="1" t="s">
        <v>36</v>
      </c>
      <c r="E32" s="21"/>
      <c r="F32" s="22"/>
      <c r="G32" s="14"/>
      <c r="H32" s="14"/>
    </row>
    <row r="33" s="1" customFormat="1" spans="2:8">
      <c r="B33" s="68" t="s">
        <v>37</v>
      </c>
      <c r="C33" s="69"/>
      <c r="D33" s="69"/>
      <c r="E33" s="69"/>
      <c r="F33" s="69"/>
      <c r="G33" s="69"/>
      <c r="H33" s="69"/>
    </row>
    <row r="34" s="1" customFormat="1" spans="2:8">
      <c r="B34" s="69"/>
      <c r="C34" s="69"/>
      <c r="D34" s="69"/>
      <c r="E34" s="69"/>
      <c r="F34" s="69"/>
      <c r="G34" s="69"/>
      <c r="H34" s="69"/>
    </row>
    <row r="35" s="1" customFormat="1" spans="2:8">
      <c r="E35" s="21"/>
      <c r="F35" s="22"/>
      <c r="G35" s="14"/>
      <c r="H35" s="14"/>
    </row>
    <row r="36" s="1" customFormat="1" spans="2:8">
      <c r="E36" s="21"/>
      <c r="F36" s="22"/>
      <c r="G36" s="14"/>
      <c r="H36" s="14"/>
    </row>
    <row r="37" s="1" customFormat="1" customHeight="1" spans="2:8">
      <c r="E37" s="3"/>
      <c r="F37" s="70"/>
      <c r="G37" s="70"/>
      <c r="H37" s="70"/>
    </row>
    <row r="38" s="1" customFormat="1" customHeight="1" spans="2:8">
      <c r="E38" s="3"/>
      <c r="F38" s="71"/>
      <c r="G38" s="71"/>
      <c r="H38" s="71"/>
    </row>
    <row r="39" s="1" customFormat="1" spans="2:8">
      <c r="E39" s="21"/>
      <c r="F39" s="22"/>
      <c r="G39" s="14"/>
      <c r="H39" s="14"/>
    </row>
    <row r="40" s="1" customFormat="1" spans="2:8">
      <c r="E40" s="21"/>
      <c r="F40" s="1"/>
      <c r="G40" s="72" t="s">
        <v>38</v>
      </c>
      <c r="H40" s="14"/>
    </row>
    <row r="41" s="1" customFormat="1" ht="15.75" spans="2:8">
      <c r="B41" s="2"/>
      <c r="C41" s="2"/>
      <c r="D41" s="2"/>
      <c r="E41" s="11"/>
      <c r="F41" s="73"/>
      <c r="G41" s="14"/>
      <c r="H41" s="5"/>
    </row>
    <row r="42" s="1" customFormat="1" spans="2:8">
      <c r="B42" s="2"/>
      <c r="C42" s="2"/>
      <c r="D42" s="2"/>
      <c r="E42" s="21"/>
      <c r="F42" s="22"/>
      <c r="G42" s="14"/>
      <c r="H42" s="5"/>
    </row>
    <row r="43" s="1" customFormat="1" spans="2:8">
      <c r="B43" s="2"/>
      <c r="C43" s="2"/>
      <c r="D43" s="2"/>
      <c r="E43" s="74"/>
      <c r="F43" s="75"/>
      <c r="G43" s="14"/>
      <c r="H43" s="5"/>
    </row>
    <row r="44" s="1" customFormat="1" spans="2:8">
      <c r="B44" s="2"/>
      <c r="C44" s="2"/>
      <c r="D44" s="2"/>
      <c r="E44" s="21"/>
      <c r="F44" s="22"/>
      <c r="G44" s="14"/>
      <c r="H44" s="5"/>
    </row>
    <row r="45" s="1" customFormat="1" spans="2:8">
      <c r="E45" s="21"/>
      <c r="F45" s="22"/>
      <c r="G45" s="14"/>
      <c r="H45" s="14"/>
    </row>
    <row r="46" s="1" customFormat="1" spans="2:8">
      <c r="E46" s="3"/>
      <c r="F46" s="4"/>
      <c r="G46" s="14"/>
      <c r="H46" s="14"/>
    </row>
    <row r="47" s="1" customFormat="1" spans="2:8">
      <c r="E47" s="3"/>
      <c r="F47" s="4"/>
      <c r="G47" s="14"/>
      <c r="H47" s="14"/>
    </row>
    <row r="48" s="1" customFormat="1" spans="2:8">
      <c r="E48" s="3"/>
      <c r="F48" s="4"/>
      <c r="G48" s="14"/>
      <c r="H48" s="14"/>
    </row>
  </sheetData>
  <mergeCells count="8">
    <mergeCell ref="B1:H1"/>
    <mergeCell ref="B2:H2"/>
    <mergeCell ref="B9:H9"/>
    <mergeCell ref="B10:H10"/>
    <mergeCell ref="B17:E17"/>
    <mergeCell ref="C19:D19"/>
    <mergeCell ref="F37:H38"/>
    <mergeCell ref="B33:H34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DQ</cp:lastModifiedBy>
  <dcterms:created xsi:type="dcterms:W3CDTF">2025-08-01T03:37:00Z</dcterms:created>
  <dcterms:modified xsi:type="dcterms:W3CDTF">2026-05-21T07:53:06Z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BCFD5C4812F943108C4EADDD7158217D_11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