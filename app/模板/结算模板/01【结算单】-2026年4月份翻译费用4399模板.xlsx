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<sst xmlns="http://schemas.openxmlformats.org/spreadsheetml/2006/main" count="38" uniqueCount="35">
  <si>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结算日期：</t>
  </si>
  <si>
    <t xml:space="preserve">辽宁省大连高新技术产业园区黄浦路533号海创国际产业大厦7层07单元
</t>
  </si>
  <si>
    <t>日语本地化费用结算单</t>
  </si>
  <si>
    <t>报价信息</t>
  </si>
  <si>
    <t>结算单编号：</t>
  </si>
  <si>
    <t>厂商名称：</t>
  </si>
  <si>
    <t>4399 NET LIMITED</t>
  </si>
  <si>
    <t>厂商联系人：</t>
  </si>
  <si>
    <t>厂商联系电话：</t>
  </si>
  <si>
    <t>代工产品名称：</t>
  </si>
  <si>
    <t>《冒险大作战》</t>
  </si>
  <si>
    <t>业务期间：</t>
  </si>
  <si>
    <t>委托内容</t>
  </si>
  <si>
    <t>交稿日期</t>
  </si>
  <si>
    <t>结算字数</t>
  </si>
  <si>
    <t>单价
CNY</t>
  </si>
  <si>
    <t>费用小计
CNY</t>
  </si>
  <si>
    <t>费用小计
USD</t>
  </si>
  <si>
    <r>
      <rPr>
        <b/>
        <sz val="11"/>
        <color theme="1" tint="0.349986266670736"/>
        <rFont val="微软雅黑"/>
        <charset val="134"/>
      </rPr>
      <t>费用合计</t>
    </r>
    <r>
      <rPr>
        <b/>
        <sz val="11"/>
        <color theme="1" tint="0.349986266670736"/>
        <rFont val="游ゴシック"/>
        <charset val="128"/>
      </rPr>
      <t xml:space="preserve"> USD</t>
    </r>
  </si>
  <si>
    <t>* 请厂商以汇款方式支付以上金额</t>
  </si>
  <si>
    <t>* 大连游者之家信息技术有限公司将以此份报价单资料作为请款之用</t>
  </si>
  <si>
    <t>*汇率：报价当月汇率-由国家外汇管理局发布http://www.safe.gov.cn/</t>
  </si>
  <si>
    <t>承办人签章：</t>
  </si>
  <si>
    <t>客户确认签章：</t>
  </si>
  <si>
    <t>翻译项目</t>
  </si>
  <si>
    <t>金额</t>
  </si>
  <si>
    <t>冒险大作战</t>
  </si>
  <si>
    <t>狩猎</t>
  </si>
  <si>
    <t>明日特工队</t>
  </si>
  <si>
    <t>少年名将</t>
  </si>
  <si>
    <t>剑魂</t>
  </si>
  <si>
    <t>波奇</t>
  </si>
  <si>
    <t>合计</t>
  </si>
  <si>
    <t>指尖无双</t>
  </si>
  <si>
    <t>主宰世界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</si>
</sst>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2"/>
      <color theme="1"/>
      <name val="Adobe 仿宋 Std R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10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sz val="11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 tint="0.349986266670736"/>
      <name val="微软雅黑"/>
      <charset val="134"/>
    </font>
    <font>
      <sz val="11"/>
      <color rgb="FF006100"/>
      <name val="宋体"/>
      <charset val="134"/>
      <scheme val="minor"/>
    </font>
    <font>
      <sz val="11"/>
      <color theme="1" tint="0.49998474074526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 tint="0.349986266670736"/>
      <name val="游ゴシック"/>
      <charset val="128"/>
    </font>
  </fonts>
  <fills count="34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/>
      <right/>
      <top style="thin">
        <color rgb="FF0085B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8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5" fillId="0" borderId="6" xfId="0" applyFont="1" applyFill="1" applyBorder="1" applyAlignment="1"/>
    <xf numFmtId="0" fontId="6" fillId="0" borderId="6" xfId="0" applyFont="1" applyFill="1" applyBorder="1" applyAlignment="1">
      <alignment vertical="center"/>
    </xf>
    <xf numFmtId="0" fontId="7" fillId="0" borderId="6" xfId="0" applyFont="1" applyFill="1" applyBorder="1" applyAlignment="1"/>
    <xf numFmtId="14" fontId="7" fillId="0" borderId="6" xfId="0" applyNumberFormat="1" applyFont="1" applyFill="1" applyBorder="1" applyAlignment="1"/>
    <xf numFmtId="0" fontId="3" fillId="0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top"/>
    </xf>
    <xf numFmtId="58" fontId="13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top"/>
    </xf>
    <xf numFmtId="176" fontId="14" fillId="0" borderId="0" xfId="0" applyNumberFormat="1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4" fontId="16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662306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81000"/>
          <a:ext cx="1028700" cy="662305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45</xdr:row>
      <xdr:rowOff>95250</xdr:rowOff>
    </xdr:from>
    <xdr:to>
      <xdr:col>3</xdr:col>
      <xdr:colOff>436880</xdr:colOff>
      <xdr:row>54</xdr:row>
      <xdr:rowOff>20320</xdr:rowOff>
    </xdr:to>
    <xdr:pic>
      <xdr:nvPicPr>
        <xdr:cNvPr id="3" name="图片 2" descr="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8650" y="10458450"/>
          <a:ext cx="2084705" cy="1801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55"/>
  <sheetViews>
    <sheetView showGridLines="0" tabSelected="1" topLeftCell="A12" workbookViewId="0">
      <selection activeCell="M17" sqref="M17"/>
    </sheetView>
  </sheetViews>
  <sheetFormatPr defaultColWidth="7.2" defaultRowHeight="16.5"/>
  <cols>
    <col min="1" max="1" width="0.7" style="7" customWidth="1"/>
    <col min="2" max="2" width="2.4" style="7" customWidth="1"/>
    <col min="3" max="3" width="20.8" style="7" customWidth="1"/>
    <col min="4" max="4" width="7.2" style="7" customWidth="1"/>
    <col min="5" max="5" width="6.6" style="7" customWidth="1"/>
    <col min="6" max="6" width="5.1" style="7" customWidth="1"/>
    <col min="7" max="7" width="8.2" style="7" customWidth="1"/>
    <col min="8" max="8" width="7.5" style="7" customWidth="1"/>
    <col min="9" max="9" width="2.1" style="7" customWidth="1"/>
    <col min="10" max="10" width="7.4" style="7"/>
    <col min="11" max="11" width="7.2" style="7"/>
    <col min="12" max="12" width="8.3" style="7"/>
    <col min="13" max="13" width="7.2" style="7"/>
    <col min="14" max="14" width="11.3" style="7"/>
    <col min="15" max="15" width="9.2" style="8"/>
    <col min="16" max="16384" width="7.2" style="7"/>
  </cols>
  <sheetData>
    <row r="1" ht="24" customHeight="1"/>
    <row r="2" s="7" customFormat="1" ht="6" customHeight="1" spans="2:15">
      <c r="B2" s="9"/>
      <c r="C2" s="10"/>
      <c r="D2" s="10"/>
      <c r="E2" s="10"/>
      <c r="F2" s="10"/>
      <c r="G2" s="10"/>
      <c r="H2" s="10"/>
      <c r="I2" s="11"/>
      <c r="O2" s="8"/>
    </row>
    <row r="3" s="7" customFormat="1" ht="57" customHeight="1" spans="2:15">
      <c r="B3" s="12"/>
      <c r="C3" s="13"/>
      <c r="D3" s="14"/>
      <c r="E3" s="15"/>
      <c r="F3" s="15"/>
      <c r="G3" s="16" t="s">
        <v>0</v>
      </c>
      <c r="H3" s="17"/>
      <c r="I3" s="18"/>
      <c r="O3" s="8"/>
    </row>
    <row r="4" s="7" customFormat="1" spans="2:15">
      <c r="B4" s="12"/>
      <c r="C4" s="19"/>
      <c r="D4" s="20" t="s">
        <v>1</v>
      </c>
      <c r="E4" s="19"/>
      <c r="F4" s="19"/>
      <c r="G4" s="19"/>
      <c r="H4" s="19"/>
      <c r="I4" s="18"/>
      <c r="O4" s="8"/>
    </row>
    <row r="5" s="7" customFormat="1" ht="23.25" customHeight="1" spans="2:15">
      <c r="B5" s="12"/>
      <c r="C5" s="19"/>
      <c r="D5" s="19"/>
      <c r="E5" s="19"/>
      <c r="F5" s="19"/>
      <c r="G5" s="19"/>
      <c r="H5" s="19"/>
      <c r="I5" s="18"/>
      <c r="O5" s="8"/>
    </row>
    <row r="6" s="7" customFormat="1" ht="24.75" spans="2:15">
      <c r="B6" s="12"/>
      <c r="C6" s="21" t="s">
        <v>2</v>
      </c>
      <c r="D6" s="21"/>
      <c r="E6" s="21"/>
      <c r="F6" s="21"/>
      <c r="G6" s="21"/>
      <c r="H6" s="21"/>
      <c r="I6" s="18"/>
      <c r="O6" s="8"/>
    </row>
    <row r="7" s="7" customFormat="1" spans="2:15">
      <c r="B7" s="12"/>
      <c r="C7" s="19"/>
      <c r="E7" s="19"/>
      <c r="F7" s="19"/>
      <c r="G7" s="19"/>
      <c r="H7" s="19"/>
      <c r="I7" s="18"/>
      <c r="O7" s="8"/>
    </row>
    <row r="8" s="7" customFormat="1" ht="19.5" spans="2:15">
      <c r="B8" s="12"/>
      <c r="C8" s="22" t="s">
        <v>3</v>
      </c>
      <c r="D8" s="23"/>
      <c r="E8" s="23"/>
      <c r="F8" s="23"/>
      <c r="G8" s="23"/>
      <c r="H8" s="23"/>
      <c r="I8" s="18"/>
      <c r="O8" s="8"/>
    </row>
    <row r="9" s="7" customFormat="1" spans="2:15">
      <c r="B9" s="12"/>
      <c r="C9" s="24" t="s">
        <v>4</v>
      </c>
      <c r="D9" s="25"/>
      <c r="E9" s="25"/>
      <c r="F9" s="25"/>
      <c r="G9" s="19"/>
      <c r="H9" s="19"/>
      <c r="I9" s="18"/>
      <c r="O9" s="8"/>
    </row>
    <row r="10" s="7" customFormat="1" spans="2:15">
      <c r="B10" s="12"/>
      <c r="C10" s="24" t="s">
        <v>5</v>
      </c>
      <c r="D10" s="26" t="s">
        <v>6</v>
      </c>
      <c r="E10" s="27"/>
      <c r="F10" s="27"/>
      <c r="G10" s="27"/>
      <c r="H10" s="19"/>
      <c r="I10" s="18"/>
      <c r="O10" s="8"/>
    </row>
    <row r="11" s="7" customFormat="1" spans="2:15">
      <c r="B11" s="12"/>
      <c r="C11" s="24" t="s">
        <v>7</v>
      </c>
      <c r="D11" s="26"/>
      <c r="E11" s="27"/>
      <c r="F11" s="27"/>
      <c r="G11" s="27"/>
      <c r="H11" s="19"/>
      <c r="I11" s="18"/>
      <c r="O11" s="8"/>
    </row>
    <row r="12" s="7" customFormat="1" spans="2:15">
      <c r="B12" s="12"/>
      <c r="C12" s="24" t="s">
        <v>8</v>
      </c>
      <c r="D12" s="26"/>
      <c r="E12" s="27"/>
      <c r="F12" s="27"/>
      <c r="G12" s="27"/>
      <c r="H12" s="19"/>
      <c r="I12" s="18"/>
      <c r="O12" s="8"/>
    </row>
    <row r="13" s="7" customFormat="1" spans="2:15">
      <c r="B13" s="12"/>
      <c r="C13" s="24" t="s">
        <v>9</v>
      </c>
      <c r="D13" s="26" t="s">
        <v>10</v>
      </c>
      <c r="E13" s="27"/>
      <c r="F13" s="27"/>
      <c r="G13" s="27"/>
      <c r="H13" s="19"/>
      <c r="I13" s="18"/>
      <c r="O13" s="8"/>
    </row>
    <row r="14" s="7" customFormat="1" spans="2:15">
      <c r="B14" s="12"/>
      <c r="C14" s="24" t="s">
        <v>11</v>
      </c>
      <c r="D14" s="26"/>
      <c r="E14" s="27"/>
      <c r="F14" s="27"/>
      <c r="G14" s="27"/>
      <c r="H14" s="19"/>
      <c r="I14" s="18"/>
      <c r="O14" s="8"/>
    </row>
    <row r="15" s="7" customFormat="1" ht="33" spans="2:15">
      <c r="B15" s="12"/>
      <c r="C15" s="28" t="s">
        <v>12</v>
      </c>
      <c r="D15" s="28" t="s">
        <v>13</v>
      </c>
      <c r="E15" s="29" t="s">
        <v>14</v>
      </c>
      <c r="F15" s="29" t="s">
        <v>15</v>
      </c>
      <c r="G15" s="29" t="s">
        <v>16</v>
      </c>
      <c r="H15" s="29" t="s">
        <v>17</v>
      </c>
      <c r="I15" s="18"/>
      <c r="O15" s="8"/>
    </row>
    <row r="16" s="7" customFormat="1" spans="2:15">
      <c r="B16" s="12"/>
      <c r="C16" s="30"/>
      <c r="D16" s="31"/>
      <c r="E16" s="30"/>
      <c r="F16" s="30">
        <v>0.52</v>
      </c>
      <c r="G16" s="32">
        <f>E16*F16</f>
        <v>0</v>
      </c>
      <c r="H16" s="33">
        <f>G16/$D$46</f>
        <v>0</v>
      </c>
      <c r="I16" s="18"/>
      <c r="O16" s="8"/>
    </row>
    <row r="17" s="7" customFormat="1" spans="2:15">
      <c r="B17" s="12"/>
      <c r="C17" s="30"/>
      <c r="D17" s="31"/>
      <c r="E17" s="30"/>
      <c r="F17" s="30">
        <v>0.52</v>
      </c>
      <c r="G17" s="32">
        <f t="shared" ref="G17:G40" si="0">E17*F17</f>
        <v>0</v>
      </c>
      <c r="H17" s="33">
        <f t="shared" ref="H17:H40" si="1">G17/$D$46</f>
        <v>0</v>
      </c>
      <c r="I17" s="18"/>
      <c r="O17" s="8"/>
    </row>
    <row r="18" s="7" customFormat="1" spans="2:15">
      <c r="B18" s="12"/>
      <c r="C18" s="30"/>
      <c r="D18" s="31"/>
      <c r="E18" s="30"/>
      <c r="F18" s="30">
        <v>0.52</v>
      </c>
      <c r="G18" s="32">
        <f t="shared" si="0"/>
        <v>0</v>
      </c>
      <c r="H18" s="33">
        <f t="shared" si="1"/>
        <v>0</v>
      </c>
      <c r="I18" s="18"/>
      <c r="O18" s="8"/>
    </row>
    <row r="19" s="7" customFormat="1" spans="2:15">
      <c r="B19" s="12"/>
      <c r="C19" s="30"/>
      <c r="D19" s="31"/>
      <c r="E19" s="30"/>
      <c r="F19" s="30">
        <v>0.52</v>
      </c>
      <c r="G19" s="32">
        <f t="shared" si="0"/>
        <v>0</v>
      </c>
      <c r="H19" s="33">
        <f t="shared" si="1"/>
        <v>0</v>
      </c>
      <c r="I19" s="18"/>
      <c r="O19" s="8"/>
    </row>
    <row r="20" s="7" customFormat="1" spans="2:15">
      <c r="B20" s="12"/>
      <c r="C20" s="30"/>
      <c r="D20" s="31"/>
      <c r="E20" s="30"/>
      <c r="F20" s="30">
        <v>0.52</v>
      </c>
      <c r="G20" s="32">
        <f t="shared" si="0"/>
        <v>0</v>
      </c>
      <c r="H20" s="33">
        <f t="shared" si="1"/>
        <v>0</v>
      </c>
      <c r="I20" s="18"/>
      <c r="O20" s="8"/>
    </row>
    <row r="21" s="7" customFormat="1" spans="2:15">
      <c r="B21" s="12"/>
      <c r="C21" s="30"/>
      <c r="D21" s="31"/>
      <c r="E21" s="30"/>
      <c r="F21" s="30">
        <v>0.52</v>
      </c>
      <c r="G21" s="32">
        <f t="shared" si="0"/>
        <v>0</v>
      </c>
      <c r="H21" s="33">
        <f t="shared" si="1"/>
        <v>0</v>
      </c>
      <c r="I21" s="18"/>
      <c r="O21" s="8"/>
    </row>
    <row r="22" s="7" customFormat="1" spans="2:15">
      <c r="B22" s="12"/>
      <c r="C22" s="30"/>
      <c r="D22" s="31"/>
      <c r="E22" s="30"/>
      <c r="F22" s="30">
        <v>0.52</v>
      </c>
      <c r="G22" s="32">
        <f t="shared" si="0"/>
        <v>0</v>
      </c>
      <c r="H22" s="33">
        <f t="shared" si="1"/>
        <v>0</v>
      </c>
      <c r="I22" s="18"/>
      <c r="O22" s="8"/>
    </row>
    <row r="23" s="7" customFormat="1" spans="2:15">
      <c r="B23" s="12"/>
      <c r="C23" s="30"/>
      <c r="D23" s="31"/>
      <c r="E23" s="30"/>
      <c r="F23" s="30">
        <v>0.52</v>
      </c>
      <c r="G23" s="32">
        <f t="shared" si="0"/>
        <v>0</v>
      </c>
      <c r="H23" s="33">
        <f t="shared" si="1"/>
        <v>0</v>
      </c>
      <c r="I23" s="18"/>
      <c r="O23" s="8"/>
    </row>
    <row r="24" s="7" customFormat="1" spans="2:15">
      <c r="B24" s="12"/>
      <c r="C24" s="30"/>
      <c r="D24" s="31"/>
      <c r="E24" s="30"/>
      <c r="F24" s="30">
        <v>0.52</v>
      </c>
      <c r="G24" s="32">
        <f t="shared" si="0"/>
        <v>0</v>
      </c>
      <c r="H24" s="33">
        <f t="shared" si="1"/>
        <v>0</v>
      </c>
      <c r="I24" s="18"/>
      <c r="O24" s="8"/>
    </row>
    <row r="25" s="7" customFormat="1" spans="2:15">
      <c r="B25" s="12"/>
      <c r="C25" s="30"/>
      <c r="D25" s="31"/>
      <c r="E25" s="30"/>
      <c r="F25" s="30">
        <v>0.52</v>
      </c>
      <c r="G25" s="32">
        <f t="shared" si="0"/>
        <v>0</v>
      </c>
      <c r="H25" s="33">
        <f t="shared" si="1"/>
        <v>0</v>
      </c>
      <c r="I25" s="18"/>
      <c r="O25" s="8"/>
    </row>
    <row r="26" s="7" customFormat="1" spans="2:15">
      <c r="B26" s="12"/>
      <c r="C26" s="30"/>
      <c r="D26" s="31"/>
      <c r="E26" s="30"/>
      <c r="F26" s="30">
        <v>0.52</v>
      </c>
      <c r="G26" s="32">
        <f t="shared" si="0"/>
        <v>0</v>
      </c>
      <c r="H26" s="33">
        <f t="shared" si="1"/>
        <v>0</v>
      </c>
      <c r="I26" s="18"/>
      <c r="O26" s="8"/>
    </row>
    <row r="27" s="7" customFormat="1" spans="2:15">
      <c r="B27" s="12"/>
      <c r="C27" s="30"/>
      <c r="D27" s="31"/>
      <c r="E27" s="30"/>
      <c r="F27" s="30">
        <v>0.52</v>
      </c>
      <c r="G27" s="32">
        <f t="shared" si="0"/>
        <v>0</v>
      </c>
      <c r="H27" s="33">
        <f t="shared" si="1"/>
        <v>0</v>
      </c>
      <c r="I27" s="18"/>
      <c r="O27" s="8"/>
    </row>
    <row r="28" s="7" customFormat="1" spans="2:15">
      <c r="B28" s="12"/>
      <c r="C28" s="30"/>
      <c r="D28" s="31"/>
      <c r="E28" s="30"/>
      <c r="F28" s="30">
        <v>0.52</v>
      </c>
      <c r="G28" s="32">
        <f t="shared" si="0"/>
        <v>0</v>
      </c>
      <c r="H28" s="33">
        <f t="shared" si="1"/>
        <v>0</v>
      </c>
      <c r="I28" s="18"/>
      <c r="O28" s="8"/>
    </row>
    <row r="29" s="7" customFormat="1" spans="2:15">
      <c r="B29" s="12"/>
      <c r="C29" s="30"/>
      <c r="D29" s="31"/>
      <c r="E29" s="30"/>
      <c r="F29" s="30">
        <v>0.52</v>
      </c>
      <c r="G29" s="32">
        <f t="shared" si="0"/>
        <v>0</v>
      </c>
      <c r="H29" s="33">
        <f t="shared" si="1"/>
        <v>0</v>
      </c>
      <c r="I29" s="18"/>
      <c r="O29" s="8"/>
    </row>
    <row r="30" s="7" customFormat="1" spans="2:15">
      <c r="B30" s="12"/>
      <c r="C30" s="30"/>
      <c r="D30" s="31"/>
      <c r="E30" s="30"/>
      <c r="F30" s="30">
        <v>0.52</v>
      </c>
      <c r="G30" s="32">
        <f t="shared" si="0"/>
        <v>0</v>
      </c>
      <c r="H30" s="33">
        <f t="shared" si="1"/>
        <v>0</v>
      </c>
      <c r="I30" s="18"/>
      <c r="O30" s="8"/>
    </row>
    <row r="31" s="7" customFormat="1" spans="2:15">
      <c r="B31" s="12"/>
      <c r="C31" s="30"/>
      <c r="D31" s="31"/>
      <c r="E31" s="30"/>
      <c r="F31" s="30">
        <v>0.52</v>
      </c>
      <c r="G31" s="32">
        <f t="shared" si="0"/>
        <v>0</v>
      </c>
      <c r="H31" s="33">
        <f t="shared" si="1"/>
        <v>0</v>
      </c>
      <c r="I31" s="18"/>
      <c r="O31" s="8"/>
    </row>
    <row r="32" s="7" customFormat="1" spans="2:15">
      <c r="B32" s="12"/>
      <c r="C32" s="30"/>
      <c r="D32" s="31"/>
      <c r="E32" s="30"/>
      <c r="F32" s="30">
        <v>0.52</v>
      </c>
      <c r="G32" s="32">
        <f t="shared" si="0"/>
        <v>0</v>
      </c>
      <c r="H32" s="33">
        <f t="shared" si="1"/>
        <v>0</v>
      </c>
      <c r="I32" s="18"/>
      <c r="O32" s="8"/>
    </row>
    <row r="33" s="7" customFormat="1" spans="2:15">
      <c r="B33" s="12"/>
      <c r="C33" s="30"/>
      <c r="D33" s="31"/>
      <c r="E33" s="30"/>
      <c r="F33" s="30">
        <v>0.52</v>
      </c>
      <c r="G33" s="32">
        <f t="shared" si="0"/>
        <v>0</v>
      </c>
      <c r="H33" s="33">
        <f t="shared" si="1"/>
        <v>0</v>
      </c>
      <c r="I33" s="18"/>
      <c r="O33" s="8"/>
    </row>
    <row r="34" s="7" customFormat="1" spans="2:15">
      <c r="B34" s="12"/>
      <c r="C34" s="30"/>
      <c r="D34" s="31"/>
      <c r="E34" s="30"/>
      <c r="F34" s="30">
        <v>0.52</v>
      </c>
      <c r="G34" s="32">
        <f t="shared" si="0"/>
        <v>0</v>
      </c>
      <c r="H34" s="33">
        <f t="shared" si="1"/>
        <v>0</v>
      </c>
      <c r="I34" s="18"/>
      <c r="O34" s="8"/>
    </row>
    <row r="35" s="7" customFormat="1" spans="2:15">
      <c r="B35" s="12"/>
      <c r="C35" s="30"/>
      <c r="D35" s="31"/>
      <c r="E35" s="30"/>
      <c r="F35" s="30">
        <v>0.52</v>
      </c>
      <c r="G35" s="32">
        <f t="shared" si="0"/>
        <v>0</v>
      </c>
      <c r="H35" s="33">
        <f t="shared" si="1"/>
        <v>0</v>
      </c>
      <c r="I35" s="18"/>
      <c r="O35" s="8"/>
    </row>
    <row r="36" s="7" customFormat="1" spans="2:15">
      <c r="B36" s="12"/>
      <c r="C36" s="30"/>
      <c r="D36" s="31"/>
      <c r="E36" s="30"/>
      <c r="F36" s="30">
        <v>0.52</v>
      </c>
      <c r="G36" s="32">
        <f t="shared" si="0"/>
        <v>0</v>
      </c>
      <c r="H36" s="33">
        <f t="shared" si="1"/>
        <v>0</v>
      </c>
      <c r="I36" s="18"/>
      <c r="O36" s="8"/>
    </row>
    <row r="37" s="7" customFormat="1" spans="2:15">
      <c r="B37" s="12"/>
      <c r="C37" s="30"/>
      <c r="D37" s="31"/>
      <c r="E37" s="30"/>
      <c r="F37" s="30">
        <v>0.52</v>
      </c>
      <c r="G37" s="32">
        <f t="shared" si="0"/>
        <v>0</v>
      </c>
      <c r="H37" s="33">
        <f t="shared" si="1"/>
        <v>0</v>
      </c>
      <c r="I37" s="18"/>
      <c r="O37" s="8"/>
    </row>
    <row r="38" s="7" customFormat="1" spans="2:15">
      <c r="B38" s="12"/>
      <c r="C38" s="30"/>
      <c r="D38" s="31"/>
      <c r="E38" s="30"/>
      <c r="F38" s="30">
        <v>0.52</v>
      </c>
      <c r="G38" s="32">
        <f t="shared" si="0"/>
        <v>0</v>
      </c>
      <c r="H38" s="33">
        <f t="shared" si="1"/>
        <v>0</v>
      </c>
      <c r="I38" s="18"/>
      <c r="O38" s="8"/>
    </row>
    <row r="39" s="7" customFormat="1" spans="2:15">
      <c r="B39" s="12"/>
      <c r="C39" s="30"/>
      <c r="D39" s="31"/>
      <c r="E39" s="30"/>
      <c r="F39" s="30">
        <v>0.52</v>
      </c>
      <c r="G39" s="32">
        <f t="shared" si="0"/>
        <v>0</v>
      </c>
      <c r="H39" s="33">
        <f t="shared" si="1"/>
        <v>0</v>
      </c>
      <c r="I39" s="18"/>
      <c r="O39" s="8"/>
    </row>
    <row r="40" s="7" customFormat="1" spans="2:15">
      <c r="B40" s="12"/>
      <c r="C40" s="30"/>
      <c r="D40" s="31"/>
      <c r="E40" s="30"/>
      <c r="F40" s="30">
        <v>0.52</v>
      </c>
      <c r="G40" s="32">
        <f t="shared" si="0"/>
        <v>0</v>
      </c>
      <c r="H40" s="33">
        <f t="shared" si="1"/>
        <v>0</v>
      </c>
      <c r="I40" s="18"/>
      <c r="O40" s="8"/>
    </row>
    <row r="41" s="7" customFormat="1" spans="2:15">
      <c r="B41" s="12"/>
      <c r="C41" s="34"/>
      <c r="D41" s="35"/>
      <c r="E41" s="34"/>
      <c r="F41" s="36"/>
      <c r="G41" s="36"/>
      <c r="H41" s="37"/>
      <c r="I41" s="18"/>
      <c r="O41" s="8"/>
    </row>
    <row r="42" s="7" customFormat="1" ht="18" spans="2:15">
      <c r="B42" s="12"/>
      <c r="C42" s="38" t="s">
        <v>18</v>
      </c>
      <c r="D42" s="39"/>
      <c r="E42" s="39"/>
      <c r="F42" s="39"/>
      <c r="G42" s="40"/>
      <c r="H42" s="41">
        <f>SUM(H16:H40)</f>
        <v>0</v>
      </c>
      <c r="I42" s="18"/>
      <c r="O42" s="8"/>
    </row>
    <row r="43" s="7" customFormat="1" spans="2:15">
      <c r="B43" s="12"/>
      <c r="C43" s="42" t="s">
        <v>19</v>
      </c>
      <c r="D43" s="19"/>
      <c r="E43" s="19"/>
      <c r="F43" s="19"/>
      <c r="G43" s="19"/>
      <c r="H43" s="19"/>
      <c r="I43" s="18"/>
      <c r="O43" s="8"/>
    </row>
    <row r="44" s="7" customFormat="1" spans="2:15">
      <c r="B44" s="12"/>
      <c r="C44" s="42" t="s">
        <v>20</v>
      </c>
      <c r="D44" s="19"/>
      <c r="E44" s="19"/>
      <c r="F44" s="19"/>
      <c r="G44" s="19"/>
      <c r="H44" s="19"/>
      <c r="I44" s="18"/>
      <c r="O44" s="8"/>
    </row>
    <row r="45" s="7" customFormat="1" spans="2:15">
      <c r="B45" s="12"/>
      <c r="C45" s="42" t="s">
        <v>21</v>
      </c>
      <c r="D45" s="19"/>
      <c r="E45" s="19"/>
      <c r="F45" s="19"/>
      <c r="G45" s="19"/>
      <c r="H45" s="42"/>
      <c r="I45" s="18"/>
      <c r="O45" s="8"/>
    </row>
    <row r="46" s="7" customFormat="1" spans="2:15">
      <c r="B46" s="12"/>
      <c r="C46" s="43" t="str">
        <f ca="1">TEXT(WORKDAY(EOMONTH(TODAY(),-1),1),"yyyy-mm-dd")&amp;" 汇率为 "</f>
        <v>2026-06-01 汇率为 </v>
      </c>
      <c r="D46" s="44">
        <v>6.8562</v>
      </c>
      <c r="E46" s="19"/>
      <c r="F46" s="19"/>
      <c r="G46" s="19"/>
      <c r="H46" s="42"/>
      <c r="I46" s="18"/>
      <c r="O46" s="8"/>
    </row>
    <row r="47" s="7" customFormat="1" ht="19.5" spans="2:15">
      <c r="B47" s="12"/>
      <c r="C47" s="22"/>
      <c r="D47" s="23"/>
      <c r="E47" s="23"/>
      <c r="F47" s="23"/>
      <c r="G47" s="23"/>
      <c r="H47" s="23"/>
      <c r="I47" s="18"/>
      <c r="O47" s="8"/>
    </row>
    <row r="48" s="7" customFormat="1" ht="3.75" customHeight="1" spans="2:15">
      <c r="B48" s="12"/>
      <c r="C48" s="45"/>
      <c r="D48" s="46"/>
      <c r="E48" s="46"/>
      <c r="F48" s="46"/>
      <c r="G48" s="46"/>
      <c r="H48" s="46"/>
      <c r="I48" s="18"/>
      <c r="O48" s="8"/>
    </row>
    <row r="49" s="7" customFormat="1" spans="2:15">
      <c r="B49" s="12"/>
      <c r="C49" s="45"/>
      <c r="D49" s="46"/>
      <c r="E49" s="46"/>
      <c r="F49" s="46"/>
      <c r="G49" s="46"/>
      <c r="H49" s="46"/>
      <c r="I49" s="18"/>
      <c r="O49" s="8"/>
    </row>
    <row r="50" s="7" customFormat="1" spans="2:15">
      <c r="B50" s="12"/>
      <c r="C50" s="45"/>
      <c r="D50" s="46"/>
      <c r="E50" s="46"/>
      <c r="F50" s="46"/>
      <c r="G50" s="46"/>
      <c r="H50" s="46"/>
      <c r="I50" s="18"/>
      <c r="O50" s="8"/>
    </row>
    <row r="51" s="7" customFormat="1" ht="15" customHeight="1" spans="2:15">
      <c r="B51" s="12"/>
      <c r="C51" s="45"/>
      <c r="D51" s="46"/>
      <c r="E51" s="46"/>
      <c r="F51" s="46"/>
      <c r="G51" s="46"/>
      <c r="H51" s="46"/>
      <c r="I51" s="18"/>
      <c r="O51" s="8"/>
    </row>
    <row r="52" s="7" customFormat="1" ht="29.25" customHeight="1" spans="2:15">
      <c r="B52" s="12"/>
      <c r="C52" s="19"/>
      <c r="D52" s="19"/>
      <c r="E52" s="19"/>
      <c r="G52" s="19"/>
      <c r="H52" s="19"/>
      <c r="I52" s="18"/>
      <c r="O52" s="8"/>
    </row>
    <row r="53" s="7" customFormat="1" ht="14.25" customHeight="1" spans="2:15">
      <c r="B53" s="12"/>
      <c r="C53" s="19" t="s">
        <v>22</v>
      </c>
      <c r="D53" s="19"/>
      <c r="E53" s="19"/>
      <c r="F53" s="19" t="s">
        <v>23</v>
      </c>
      <c r="G53" s="19"/>
      <c r="H53" s="19"/>
      <c r="I53" s="18"/>
      <c r="O53" s="8"/>
    </row>
    <row r="54" s="7" customFormat="1" spans="2:15">
      <c r="B54" s="12"/>
      <c r="C54" s="19"/>
      <c r="D54" s="19"/>
      <c r="E54" s="19"/>
      <c r="F54" s="19"/>
      <c r="G54" s="19"/>
      <c r="H54" s="19"/>
      <c r="I54" s="18"/>
      <c r="O54" s="8"/>
    </row>
    <row r="55" s="7" customFormat="1" ht="4" customHeight="1" spans="2:15">
      <c r="B55" s="47"/>
      <c r="C55" s="48"/>
      <c r="D55" s="48"/>
      <c r="E55" s="48"/>
      <c r="F55" s="48"/>
      <c r="G55" s="48"/>
      <c r="H55" s="48"/>
      <c r="I55" s="49"/>
      <c r="O55" s="8"/>
    </row>
  </sheetData>
  <mergeCells count="3">
    <mergeCell ref="C6:H6"/>
    <mergeCell ref="D9:F9"/>
    <mergeCell ref="C42:G42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4" sqref="B14"/>
    </sheetView>
  </sheetViews>
  <sheetFormatPr defaultColWidth="7.2" defaultRowHeight="13.5" outlineLevelCol="1"/>
  <cols>
    <col min="1" max="1" width="13.7" style="1" customWidth="1"/>
    <col min="2" max="2" width="9.2" style="2"/>
    <col min="3" max="3" width="13.3" style="1" customWidth="1"/>
    <col min="4" max="16384" width="7.2" style="1"/>
  </cols>
  <sheetData>
    <row r="1" s="1" customFormat="1" spans="1:2">
      <c r="A1" s="3" t="s">
        <v>24</v>
      </c>
      <c r="B1" s="4" t="s">
        <v>25</v>
      </c>
    </row>
    <row r="2" s="1" customFormat="1" spans="1:2">
      <c r="A2" s="5" t="s">
        <v>26</v>
      </c>
      <c r="B2" s="6">
        <f>Sheet1!H42</f>
        <v>0</v>
      </c>
    </row>
    <row r="3" s="1" customFormat="1" spans="1:2">
      <c r="A3" s="5" t="s">
        <v>27</v>
      </c>
      <c r="B3" s="6">
        <v>0</v>
      </c>
    </row>
    <row r="4" s="1" customFormat="1" spans="1:2">
      <c r="A4" s="5" t="s">
        <v>28</v>
      </c>
      <c r="B4" s="6">
        <v>17.4440652256352</v>
      </c>
    </row>
    <row r="5" s="1" customFormat="1" spans="1:2">
      <c r="A5" s="5" t="s">
        <v>29</v>
      </c>
      <c r="B5" s="6">
        <v>0</v>
      </c>
    </row>
    <row r="6" s="1" customFormat="1" spans="1:2">
      <c r="A6" s="5" t="s">
        <v>30</v>
      </c>
      <c r="B6" s="6">
        <v>0</v>
      </c>
    </row>
    <row r="7" s="1" customFormat="1" spans="1:2">
      <c r="A7" s="5" t="s">
        <v>31</v>
      </c>
      <c r="B7" s="6">
        <v>879.579067121729</v>
      </c>
    </row>
    <row r="8" s="1" customFormat="1" spans="1:2">
      <c r="A8" s="5" t="s">
        <v>32</v>
      </c>
      <c r="B8" s="4">
        <f>SUM(B2:B7)</f>
        <v>897.023132347364</v>
      </c>
    </row>
    <row r="12" spans="1:2">
      <c r="A12" s="3" t="s">
        <v>24</v>
      </c>
      <c r="B12" s="4" t="s">
        <v>25</v>
      </c>
    </row>
    <row r="13" spans="1:2">
      <c r="A13" s="5" t="s">
        <v>33</v>
      </c>
      <c r="B13" s="6">
        <v>471.824042472507</v>
      </c>
    </row>
    <row r="14" spans="1:2">
      <c r="A14" s="5" t="s">
        <v>34</v>
      </c>
      <c r="B14" s="6">
        <v>2401.06769117553</v>
      </c>
    </row>
    <row r="15" spans="1:2">
      <c r="A15" s="5" t="s">
        <v>32</v>
      </c>
      <c r="B15" s="4">
        <f>SUM(B10:B14)</f>
        <v>2872.89173364803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2025-08-01T03:27:00Z</dcterms:created>
  <dcterms:modified xsi:type="dcterms:W3CDTF">2026-06-02T08:04:57Z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15A65C89F7F4409E9E8AC35AE2B4FACA_11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